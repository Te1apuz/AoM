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" sheetId="1" r:id="rId4"/>
    <sheet state="hidden" name="Созвездия" sheetId="2" r:id="rId5"/>
  </sheets>
  <definedNames>
    <definedName hidden="1" localSheetId="0" name="_xlnm._FilterDatabase">'Таблица'!$A$5:$U$214</definedName>
  </definedNames>
  <calcPr/>
  <extLst>
    <ext uri="GoogleSheetsCustomDataVersion2">
      <go:sheetsCustomData xmlns:go="http://customooxmlschemas.google.com/" r:id="rId6" roundtripDataChecksum="TBxKWuupZQYDlsBAqL9miquNS3RMO0RFB3XxK0pHfrE="/>
    </ext>
  </extLst>
</workbook>
</file>

<file path=xl/sharedStrings.xml><?xml version="1.0" encoding="utf-8"?>
<sst xmlns="http://schemas.openxmlformats.org/spreadsheetml/2006/main" count="1562" uniqueCount="311">
  <si>
    <t>Буква</t>
  </si>
  <si>
    <t>Иконка</t>
  </si>
  <si>
    <t>A</t>
  </si>
  <si>
    <t>B</t>
  </si>
  <si>
    <t xml:space="preserve">
</t>
  </si>
  <si>
    <t>совпадения</t>
  </si>
  <si>
    <t>by RedCat#1BVV</t>
  </si>
  <si>
    <t>Сперва вбиваем Созвездие артефакта при помощи буквенного выпадающего меню!! Далее для сортировки по совпадениям, жмем ➟</t>
  </si>
  <si>
    <t>C</t>
  </si>
  <si>
    <t>2-й навык Артуса и 3-й навык Дэнайи дают возможность совершать контратаки абсолютно всем персонажам</t>
  </si>
  <si>
    <t>D</t>
  </si>
  <si>
    <t>E</t>
  </si>
  <si>
    <t>F</t>
  </si>
  <si>
    <t>G</t>
  </si>
  <si>
    <t>H</t>
  </si>
  <si>
    <t>I</t>
  </si>
  <si>
    <t>J</t>
  </si>
  <si>
    <t>K</t>
  </si>
  <si>
    <t>L</t>
  </si>
  <si>
    <t>Артефакт</t>
  </si>
  <si>
    <t>Массовая атака</t>
  </si>
  <si>
    <t>Контратака</t>
  </si>
  <si>
    <t>Одиночная атака</t>
  </si>
  <si>
    <t>Вспомогательная атака</t>
  </si>
  <si>
    <t>№</t>
  </si>
  <si>
    <t>Фракция</t>
  </si>
  <si>
    <t>Персонаж</t>
  </si>
  <si>
    <t>Созвездие</t>
  </si>
  <si>
    <t>Навык 1</t>
  </si>
  <si>
    <t>Навык 2</t>
  </si>
  <si>
    <t>Навык 3</t>
  </si>
  <si>
    <t>Навык 4</t>
  </si>
  <si>
    <t>Контратака за счет другого перса</t>
  </si>
  <si>
    <t>Вспомогательная Атака</t>
  </si>
  <si>
    <t>Вспомогательная за счет другого перса</t>
  </si>
  <si>
    <t>Фатуриши</t>
  </si>
  <si>
    <t>Сарпани</t>
  </si>
  <si>
    <t>Вирашан</t>
  </si>
  <si>
    <t>Мульти</t>
  </si>
  <si>
    <t>Сандхвар</t>
  </si>
  <si>
    <t>Лакшайн</t>
  </si>
  <si>
    <t>Матави</t>
  </si>
  <si>
    <t>Шанат</t>
  </si>
  <si>
    <t>2-й навык</t>
  </si>
  <si>
    <t>Проклятый Цирк</t>
  </si>
  <si>
    <t>Марлена</t>
  </si>
  <si>
    <t>Пикки</t>
  </si>
  <si>
    <t>Жан Глёр</t>
  </si>
  <si>
    <t>Гозо</t>
  </si>
  <si>
    <t>Оукли</t>
  </si>
  <si>
    <t>пассивка</t>
  </si>
  <si>
    <t>Серсела</t>
  </si>
  <si>
    <t>Алый Орден</t>
  </si>
  <si>
    <t>Тереза</t>
  </si>
  <si>
    <t>2-й навык Артуса</t>
  </si>
  <si>
    <t>С 1 пробуд Люца, база Бертрана</t>
  </si>
  <si>
    <t>Люциус</t>
  </si>
  <si>
    <t>база Бертрана</t>
  </si>
  <si>
    <t>Бенедикт</t>
  </si>
  <si>
    <t>Мария</t>
  </si>
  <si>
    <t>Феликс</t>
  </si>
  <si>
    <t>Бертран</t>
  </si>
  <si>
    <t>С 1 пробуд Люца</t>
  </si>
  <si>
    <t>Агнесса</t>
  </si>
  <si>
    <t>Исчадия Хаоса</t>
  </si>
  <si>
    <t>Сид</t>
  </si>
  <si>
    <t>Гул</t>
  </si>
  <si>
    <t>Акед</t>
  </si>
  <si>
    <t>Фурия</t>
  </si>
  <si>
    <t>Мульти если есть статика</t>
  </si>
  <si>
    <t>Луксурия</t>
  </si>
  <si>
    <t>Инвид</t>
  </si>
  <si>
    <t>Суперия</t>
  </si>
  <si>
    <t>Стражи Порядка</t>
  </si>
  <si>
    <t>Омфис</t>
  </si>
  <si>
    <t>база Неферы</t>
  </si>
  <si>
    <t>Сири</t>
  </si>
  <si>
    <t>Уоррис</t>
  </si>
  <si>
    <t>Сехмон</t>
  </si>
  <si>
    <t>Нефера</t>
  </si>
  <si>
    <t>Инпус</t>
  </si>
  <si>
    <t>Скара</t>
  </si>
  <si>
    <t>Ваны Северных Вершин</t>
  </si>
  <si>
    <t>Стар'вальд</t>
  </si>
  <si>
    <t>Рей'мунд</t>
  </si>
  <si>
    <t>Ульфрен</t>
  </si>
  <si>
    <t>Гротто</t>
  </si>
  <si>
    <t>Хэй'лис</t>
  </si>
  <si>
    <t>Герда</t>
  </si>
  <si>
    <t>Фрей'хель</t>
  </si>
  <si>
    <t>Облачные Странники</t>
  </si>
  <si>
    <t>Роксана</t>
  </si>
  <si>
    <t>Астория</t>
  </si>
  <si>
    <t>Капфей</t>
  </si>
  <si>
    <t>Блисс</t>
  </si>
  <si>
    <t>Рамфорт</t>
  </si>
  <si>
    <t>пассивка с пробудкой</t>
  </si>
  <si>
    <t>Эвер</t>
  </si>
  <si>
    <t>Теодор</t>
  </si>
  <si>
    <t>Ковен Ведьм</t>
  </si>
  <si>
    <t>Лилит</t>
  </si>
  <si>
    <t>Баньши</t>
  </si>
  <si>
    <t>Диана</t>
  </si>
  <si>
    <t>Нора</t>
  </si>
  <si>
    <t>Белладонна</t>
  </si>
  <si>
    <t>Теон</t>
  </si>
  <si>
    <t>Флэйм</t>
  </si>
  <si>
    <t>Лиора Спэллвин</t>
  </si>
  <si>
    <t>Брайт</t>
  </si>
  <si>
    <t>Скарлет</t>
  </si>
  <si>
    <t>Нимуэ</t>
  </si>
  <si>
    <t>Отступники</t>
  </si>
  <si>
    <t>Корвус</t>
  </si>
  <si>
    <t>Фелиция</t>
  </si>
  <si>
    <t>С пробуд лидерки Корвуса</t>
  </si>
  <si>
    <t>Мордред</t>
  </si>
  <si>
    <t>Лола</t>
  </si>
  <si>
    <t>Кроули Чернодум</t>
  </si>
  <si>
    <t>Морриган</t>
  </si>
  <si>
    <t>Лионго</t>
  </si>
  <si>
    <t>Бальтазар</t>
  </si>
  <si>
    <t>Вильгельм</t>
  </si>
  <si>
    <t>Дикие Эльфы</t>
  </si>
  <si>
    <t>Мелейн</t>
  </si>
  <si>
    <t>если меньше 35% хп (пассика Керноула)</t>
  </si>
  <si>
    <t>С Маэглин, нужно быть в скыте! База Глорианы</t>
  </si>
  <si>
    <t>Глориана</t>
  </si>
  <si>
    <t>С Маэглин, нужно быть в скыте!</t>
  </si>
  <si>
    <t>Аэгнор</t>
  </si>
  <si>
    <t>Маэглин</t>
  </si>
  <si>
    <t>Тилеана</t>
  </si>
  <si>
    <t>Против Нежити и Демонов</t>
  </si>
  <si>
    <t>Сандариэль</t>
  </si>
  <si>
    <t>Идриль</t>
  </si>
  <si>
    <t>Керноул</t>
  </si>
  <si>
    <t>Орки</t>
  </si>
  <si>
    <t>Тан'Арг</t>
  </si>
  <si>
    <t>Да'Ган</t>
  </si>
  <si>
    <t>Лас'Кари</t>
  </si>
  <si>
    <t>Мор'Дроук</t>
  </si>
  <si>
    <t>Рок'Хан</t>
  </si>
  <si>
    <t>Архана</t>
  </si>
  <si>
    <t>Кромм</t>
  </si>
  <si>
    <t>Дети Леса</t>
  </si>
  <si>
    <t>Беорн</t>
  </si>
  <si>
    <t>2-й навык Прайда</t>
  </si>
  <si>
    <t>Лакки</t>
  </si>
  <si>
    <t>Трики</t>
  </si>
  <si>
    <t>Стелси</t>
  </si>
  <si>
    <t>База, пассивка</t>
  </si>
  <si>
    <t>Софти</t>
  </si>
  <si>
    <t>Прайд</t>
  </si>
  <si>
    <t>3-й навык</t>
  </si>
  <si>
    <t>База</t>
  </si>
  <si>
    <t>Саблезубый</t>
  </si>
  <si>
    <t>3-й навык Софти</t>
  </si>
  <si>
    <t>Рыцари Совета</t>
  </si>
  <si>
    <t>Тристан</t>
  </si>
  <si>
    <t>Библиотекарь</t>
  </si>
  <si>
    <t>Джоан</t>
  </si>
  <si>
    <t>Зигфрид</t>
  </si>
  <si>
    <t>Бринхильда</t>
  </si>
  <si>
    <t>Вулкан</t>
  </si>
  <si>
    <t>2-й навык, пассивка</t>
  </si>
  <si>
    <t>Роланд</t>
  </si>
  <si>
    <t>Высшие Эльфы</t>
  </si>
  <si>
    <t>Дайме</t>
  </si>
  <si>
    <t>Лидерка Орихиме, 3-й навык Кабуто</t>
  </si>
  <si>
    <t>Танеда</t>
  </si>
  <si>
    <t>Мизухико</t>
  </si>
  <si>
    <t>Хотей</t>
  </si>
  <si>
    <t>Кагэ</t>
  </si>
  <si>
    <t>пассивка Орихиме</t>
  </si>
  <si>
    <t>Орихиме</t>
  </si>
  <si>
    <t>Кабуто</t>
  </si>
  <si>
    <t>Тёмные Эльфы</t>
  </si>
  <si>
    <t>Найя</t>
  </si>
  <si>
    <t>Азариэль</t>
  </si>
  <si>
    <t>2-й навык Найи</t>
  </si>
  <si>
    <t>Дрейк</t>
  </si>
  <si>
    <t>Трииш</t>
  </si>
  <si>
    <t>Ллаэль</t>
  </si>
  <si>
    <t>Ройнар</t>
  </si>
  <si>
    <t>база</t>
  </si>
  <si>
    <t>Локхир</t>
  </si>
  <si>
    <t>Ра'Архни</t>
  </si>
  <si>
    <t>Ираззт</t>
  </si>
  <si>
    <t>2-й навык Хшаата</t>
  </si>
  <si>
    <t>Акрашт</t>
  </si>
  <si>
    <t>3-й навык Ираззта</t>
  </si>
  <si>
    <t>Хилия</t>
  </si>
  <si>
    <t>Раарспит</t>
  </si>
  <si>
    <t>Тахит</t>
  </si>
  <si>
    <t>Райзер</t>
  </si>
  <si>
    <t>Хшаат</t>
  </si>
  <si>
    <t>Гильдия Убийц</t>
  </si>
  <si>
    <t>Блэйд</t>
  </si>
  <si>
    <t>Юки</t>
  </si>
  <si>
    <t>Капитан Джон</t>
  </si>
  <si>
    <t>Уиллоу</t>
  </si>
  <si>
    <t>Эш</t>
  </si>
  <si>
    <t>Клаудия Токсик</t>
  </si>
  <si>
    <t>Деметрия</t>
  </si>
  <si>
    <t>Шаразар</t>
  </si>
  <si>
    <t>Кобольды</t>
  </si>
  <si>
    <t>Жрец Червя</t>
  </si>
  <si>
    <t>Шныг</t>
  </si>
  <si>
    <t>Грок</t>
  </si>
  <si>
    <t>Кобольдун</t>
  </si>
  <si>
    <t>Торак</t>
  </si>
  <si>
    <t>Гадалка Зутима</t>
  </si>
  <si>
    <t>Джагг</t>
  </si>
  <si>
    <t>Зверолюди</t>
  </si>
  <si>
    <t>Виларр</t>
  </si>
  <si>
    <t>3-й навык Жар-птицы</t>
  </si>
  <si>
    <t>Рок</t>
  </si>
  <si>
    <t>Цуна</t>
  </si>
  <si>
    <t>Ругару</t>
  </si>
  <si>
    <t>База Мульти в форме Оборотня</t>
  </si>
  <si>
    <t>Чжу Бацзе</t>
  </si>
  <si>
    <t>База Жар-птицы</t>
  </si>
  <si>
    <t>Сунь Укун</t>
  </si>
  <si>
    <t>Жар-птица</t>
  </si>
  <si>
    <t>Че Варр</t>
  </si>
  <si>
    <t>Пайн</t>
  </si>
  <si>
    <t>Рэттем</t>
  </si>
  <si>
    <t>Шарлотта</t>
  </si>
  <si>
    <t>Друиды</t>
  </si>
  <si>
    <t>Вендигор</t>
  </si>
  <si>
    <t>Лидерка Рианнон</t>
  </si>
  <si>
    <t>Флора</t>
  </si>
  <si>
    <t>Кетбад</t>
  </si>
  <si>
    <t>Рианнон</t>
  </si>
  <si>
    <t>Лидерка</t>
  </si>
  <si>
    <t>Веланд</t>
  </si>
  <si>
    <t>Ирма</t>
  </si>
  <si>
    <t>Мирдин</t>
  </si>
  <si>
    <t>Древерад</t>
  </si>
  <si>
    <t>Мэдб</t>
  </si>
  <si>
    <t>Рэйши</t>
  </si>
  <si>
    <t>Биби</t>
  </si>
  <si>
    <t>Драконий Народ</t>
  </si>
  <si>
    <t>Драконир</t>
  </si>
  <si>
    <t>Харанна</t>
  </si>
  <si>
    <t>Рогар</t>
  </si>
  <si>
    <t>Волнна</t>
  </si>
  <si>
    <t>Катар</t>
  </si>
  <si>
    <t>Фирар</t>
  </si>
  <si>
    <t>Деккса</t>
  </si>
  <si>
    <t>Демоны</t>
  </si>
  <si>
    <t>Абаддон</t>
  </si>
  <si>
    <t>Пожиратель</t>
  </si>
  <si>
    <t>Опустошитель</t>
  </si>
  <si>
    <t>с пробуд пассивки</t>
  </si>
  <si>
    <t>Привратник</t>
  </si>
  <si>
    <t>Гончий Бездны</t>
  </si>
  <si>
    <t>Поджигатель</t>
  </si>
  <si>
    <t>Стиратель</t>
  </si>
  <si>
    <t>Суккуба</t>
  </si>
  <si>
    <t>Ксаарт</t>
  </si>
  <si>
    <t>Гоблины</t>
  </si>
  <si>
    <t>Гоблушка Незабываемая</t>
  </si>
  <si>
    <t>база Верзилы, 1 и 3 Гоблинуса Гнилого Зуба</t>
  </si>
  <si>
    <t>Верзила Крипс</t>
  </si>
  <si>
    <t>1 и 3 Гоблинуса Гнилого Зуба</t>
  </si>
  <si>
    <t>Гоблинус Гнилой Зуб</t>
  </si>
  <si>
    <t>4-й навык  Гоблушки, база Верзилы</t>
  </si>
  <si>
    <t>Пронырникс Шустр</t>
  </si>
  <si>
    <t>4-й навык  Гоблушки, база Верзилы, 1 и 3  Гоблинуса Гнилого Зуба</t>
  </si>
  <si>
    <t>Прук Кривоморд</t>
  </si>
  <si>
    <t>Гномы</t>
  </si>
  <si>
    <t>Трорин</t>
  </si>
  <si>
    <t>Ангрим</t>
  </si>
  <si>
    <t>Харгрим</t>
  </si>
  <si>
    <t>Амброр</t>
  </si>
  <si>
    <t>Гассар</t>
  </si>
  <si>
    <t>Троддар</t>
  </si>
  <si>
    <t>Велундар</t>
  </si>
  <si>
    <t>Варвары</t>
  </si>
  <si>
    <t>Болотная Убийца</t>
  </si>
  <si>
    <t>3-й навык Дэнайи</t>
  </si>
  <si>
    <t>Дэнайя</t>
  </si>
  <si>
    <t>Беллара</t>
  </si>
  <si>
    <t>Серебряная Луна</t>
  </si>
  <si>
    <t>Аратар</t>
  </si>
  <si>
    <t>Семь Ножей</t>
  </si>
  <si>
    <t>Атилес</t>
  </si>
  <si>
    <t>Архоны</t>
  </si>
  <si>
    <t>Элиос</t>
  </si>
  <si>
    <t>Сакриф</t>
  </si>
  <si>
    <t>Тирос</t>
  </si>
  <si>
    <t>Стерус</t>
  </si>
  <si>
    <t>Арген</t>
  </si>
  <si>
    <t>Магнус</t>
  </si>
  <si>
    <t>Артус</t>
  </si>
  <si>
    <t>Нежить Арехона</t>
  </si>
  <si>
    <t>Император Крови</t>
  </si>
  <si>
    <t>Кровавый Жрец</t>
  </si>
  <si>
    <t>Тень Арехона</t>
  </si>
  <si>
    <t>Арехонский Копейщик</t>
  </si>
  <si>
    <t>Метатель Топоров</t>
  </si>
  <si>
    <t>Арехонский Гвардеец</t>
  </si>
  <si>
    <t>Маг Крови</t>
  </si>
  <si>
    <t>Дом Вампиров</t>
  </si>
  <si>
    <t>Виорика</t>
  </si>
  <si>
    <t>Варгул</t>
  </si>
  <si>
    <t>пробудка 3-го навыка</t>
  </si>
  <si>
    <t>Влодан</t>
  </si>
  <si>
    <t>Врея</t>
  </si>
  <si>
    <t>Валира</t>
  </si>
  <si>
    <t>Венди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</si>
</sst>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/>
    <font>
      <b/>
      <i/>
      <sz val="12.0"/>
      <color rgb="FFFF0000"/>
      <name val="Arial"/>
    </font>
    <font>
      <b/>
      <i/>
      <sz val="24.0"/>
      <color theme="1"/>
      <name val="Arial"/>
    </font>
    <font>
      <sz val="9.0"/>
      <color rgb="FF000000"/>
      <name val="Arial"/>
    </font>
    <font>
      <b/>
      <i/>
      <sz val="8.0"/>
      <color rgb="FF00FF00"/>
      <name val="Arial"/>
    </font>
    <font>
      <sz val="18.0"/>
      <color theme="1"/>
      <name val="Arial"/>
    </font>
    <font>
      <b/>
      <sz val="24.0"/>
      <color rgb="FF000000"/>
      <name val="Arial"/>
    </font>
    <font>
      <b/>
      <sz val="12.0"/>
      <color rgb="FF000000"/>
      <name val="Arial"/>
    </font>
    <font>
      <b/>
      <sz val="12.0"/>
      <color rgb="FFFFFF00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sz val="18.0"/>
      <color rgb="FF000000"/>
      <name val="Arial"/>
    </font>
    <font>
      <sz val="5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u/>
      <sz val="10.0"/>
      <color rgb="FF000000"/>
      <name val="Arial"/>
    </font>
    <font>
      <sz val="14.0"/>
      <color rgb="FFFFFF00"/>
      <name val="Arial"/>
    </font>
    <font>
      <i/>
      <sz val="12.0"/>
      <color rgb="FF000000"/>
      <name val="Arial"/>
    </font>
    <font>
      <sz val="12.0"/>
      <color rgb="FF000000"/>
      <name val="Arial"/>
    </font>
    <font>
      <sz val="10.0"/>
      <color rgb="FFFFFF00"/>
      <name val="Arial"/>
    </font>
    <font>
      <sz val="9.0"/>
      <color rgb="FFFFFFFF"/>
      <name val="Arial"/>
    </font>
    <font>
      <b/>
      <color rgb="FF000000"/>
      <name val="Arial"/>
    </font>
    <font>
      <b/>
      <i/>
      <u/>
      <sz val="11.0"/>
      <color rgb="FF000000"/>
      <name val="Arial"/>
    </font>
    <font>
      <sz val="13.0"/>
      <color rgb="FF351C75"/>
      <name val="Arial"/>
    </font>
    <font>
      <sz val="11.0"/>
      <color rgb="FFFFFFFF"/>
      <name val="Arial"/>
    </font>
    <font>
      <sz val="16.0"/>
      <color rgb="FF000000"/>
      <name val="Arial"/>
    </font>
    <font>
      <sz val="12.0"/>
      <color rgb="FFFFFFFF"/>
      <name val="Arial"/>
    </font>
    <font>
      <b/>
      <sz val="11.0"/>
      <color rgb="FF274E13"/>
      <name val="Arial"/>
    </font>
    <font>
      <sz val="11.0"/>
      <color rgb="FFF3F3F3"/>
      <name val="Arial"/>
    </font>
    <font>
      <b/>
      <sz val="14.0"/>
      <color rgb="FF0000FF"/>
      <name val="Arial"/>
    </font>
    <font>
      <sz val="11.0"/>
      <color rgb="FFFFFF00"/>
      <name val="Arial"/>
    </font>
    <font>
      <sz val="13.0"/>
      <color rgb="FF00FF00"/>
      <name val="Arial"/>
    </font>
    <font>
      <sz val="17.0"/>
      <color rgb="FFFF9900"/>
      <name val="Arial"/>
    </font>
    <font>
      <b/>
      <sz val="12.0"/>
      <color rgb="FFFF0000"/>
      <name val="Arial"/>
    </font>
    <font>
      <b/>
      <i/>
      <sz val="14.0"/>
      <color rgb="FF000000"/>
      <name val="Arial"/>
    </font>
    <font>
      <b/>
      <sz val="15.0"/>
      <color rgb="FF5B0F00"/>
      <name val="Arial"/>
    </font>
    <font>
      <b/>
      <i/>
      <sz val="14.0"/>
      <color rgb="FFFFD966"/>
      <name val="Arial"/>
    </font>
    <font>
      <sz val="15.0"/>
      <color rgb="FF000000"/>
      <name val="Arial"/>
    </font>
    <font>
      <sz val="14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C343D"/>
        <bgColor rgb="FF0C343D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E94333"/>
        <bgColor rgb="FFE94333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85200C"/>
        <bgColor rgb="FF85200C"/>
      </patternFill>
    </fill>
    <fill>
      <patternFill patternType="solid">
        <fgColor rgb="FFC27BA0"/>
        <bgColor rgb="FFC27BA0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F6B26B"/>
        <bgColor rgb="FFF6B26B"/>
      </patternFill>
    </fill>
    <fill>
      <patternFill patternType="solid">
        <fgColor rgb="FF990000"/>
        <bgColor rgb="FF990000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vertical="center"/>
    </xf>
    <xf borderId="6" fillId="3" fontId="4" numFmtId="0" xfId="0" applyAlignment="1" applyBorder="1" applyFill="1" applyFont="1">
      <alignment horizontal="center" shrinkToFit="0" textRotation="255" vertical="center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2" fillId="4" fontId="7" numFmtId="0" xfId="0" applyAlignment="1" applyBorder="1" applyFill="1" applyFont="1">
      <alignment horizontal="center" shrinkToFit="0" vertical="center" wrapText="1"/>
    </xf>
    <xf borderId="11" fillId="3" fontId="2" numFmtId="0" xfId="0" applyAlignment="1" applyBorder="1" applyFill="1" applyFont="1">
      <alignment vertical="center"/>
    </xf>
    <xf borderId="3" fillId="0" fontId="5" numFmtId="0" xfId="0" applyAlignment="1" applyBorder="1" applyFont="1">
      <alignment vertical="bottom"/>
    </xf>
    <xf borderId="12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6" fillId="5" fontId="1" numFmtId="0" xfId="0" applyAlignment="1" applyBorder="1" applyFill="1" applyFont="1">
      <alignment horizontal="center" shrinkToFit="0" vertical="center" wrapText="1"/>
    </xf>
    <xf borderId="14" fillId="0" fontId="8" numFmtId="0" xfId="0" applyAlignment="1" applyBorder="1" applyFont="1">
      <alignment horizontal="center" vertical="center"/>
    </xf>
    <xf borderId="0" fillId="3" fontId="9" numFmtId="0" xfId="0" applyAlignment="1" applyFill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6" fontId="10" numFmtId="0" xfId="0" applyAlignment="1" applyBorder="1" applyFill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5" fontId="10" numFmtId="0" xfId="0" applyAlignment="1" applyBorder="1" applyFill="1" applyFont="1">
      <alignment horizontal="center" vertical="center"/>
    </xf>
    <xf borderId="6" fillId="3" fontId="9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vertical="center"/>
    </xf>
    <xf borderId="16" fillId="7" fontId="10" numFmtId="0" xfId="0" applyAlignment="1" applyBorder="1" applyFill="1" applyFont="1">
      <alignment horizontal="center" vertical="center"/>
    </xf>
    <xf borderId="18" fillId="8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5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20" fillId="3" fontId="14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9" fillId="9" fontId="15" numFmtId="0" xfId="0" applyAlignment="1" applyBorder="1" applyFill="1" applyFont="1">
      <alignment horizontal="center" textRotation="255" vertical="center"/>
    </xf>
    <xf borderId="19" fillId="0" fontId="16" numFmtId="0" xfId="0" applyAlignment="1" applyBorder="1" applyFont="1">
      <alignment horizontal="center" vertical="center"/>
    </xf>
    <xf borderId="15" fillId="0" fontId="16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15" fillId="10" fontId="12" numFmtId="0" xfId="0" applyAlignment="1" applyBorder="1" applyFill="1" applyFont="1">
      <alignment horizontal="center" shrinkToFit="0" vertical="center" wrapText="1"/>
    </xf>
    <xf borderId="18" fillId="0" fontId="13" numFmtId="0" xfId="0" applyAlignment="1" applyBorder="1" applyFont="1">
      <alignment horizontal="center" vertical="center"/>
    </xf>
    <xf borderId="0" fillId="11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7" fillId="3" fontId="1" numFmtId="0" xfId="0" applyAlignment="1" applyBorder="1" applyFill="1" applyFont="1">
      <alignment horizontal="center" vertical="center"/>
    </xf>
    <xf borderId="15" fillId="12" fontId="14" numFmtId="0" xfId="0" applyAlignment="1" applyBorder="1" applyFill="1" applyFont="1">
      <alignment horizontal="center" vertical="center"/>
    </xf>
    <xf borderId="15" fillId="7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vertical="center"/>
    </xf>
    <xf borderId="15" fillId="7" fontId="16" numFmtId="0" xfId="0" applyAlignment="1" applyBorder="1" applyFill="1" applyFont="1">
      <alignment horizontal="center" vertical="center"/>
    </xf>
    <xf borderId="15" fillId="6" fontId="1" numFmtId="0" xfId="0" applyAlignment="1" applyBorder="1" applyFill="1" applyFont="1">
      <alignment horizontal="center" vertical="center"/>
    </xf>
    <xf borderId="15" fillId="7" fontId="14" numFmtId="0" xfId="0" applyAlignment="1" applyBorder="1" applyFill="1" applyFont="1">
      <alignment horizontal="center" vertical="center"/>
    </xf>
    <xf borderId="0" fillId="11" fontId="18" numFmtId="0" xfId="0" applyAlignment="1" applyFill="1" applyFont="1">
      <alignment horizontal="center" vertical="center"/>
    </xf>
    <xf borderId="18" fillId="0" fontId="13" numFmtId="0" xfId="0" applyAlignment="1" applyBorder="1" applyFont="1">
      <alignment horizontal="center" readingOrder="0" vertical="center"/>
    </xf>
    <xf borderId="18" fillId="8" fontId="19" numFmtId="0" xfId="0" applyAlignment="1" applyBorder="1" applyFill="1" applyFont="1">
      <alignment horizontal="center" readingOrder="0" shrinkToFit="0" vertical="center" wrapText="1"/>
    </xf>
    <xf borderId="15" fillId="13" fontId="20" numFmtId="0" xfId="0" applyAlignment="1" applyBorder="1" applyFill="1" applyFont="1">
      <alignment horizontal="center" shrinkToFit="0" vertical="center" wrapText="1"/>
    </xf>
    <xf borderId="15" fillId="6" fontId="16" numFmtId="0" xfId="0" applyAlignment="1" applyBorder="1" applyFill="1" applyFont="1">
      <alignment horizontal="center" vertical="center"/>
    </xf>
    <xf borderId="15" fillId="5" fontId="16" numFmtId="0" xfId="0" applyAlignment="1" applyBorder="1" applyFill="1" applyFont="1">
      <alignment horizontal="center" vertical="center"/>
    </xf>
    <xf borderId="15" fillId="14" fontId="21" numFmtId="0" xfId="0" applyAlignment="1" applyBorder="1" applyFill="1" applyFont="1">
      <alignment horizontal="center" shrinkToFit="0" vertical="center" wrapText="1"/>
    </xf>
    <xf borderId="15" fillId="5" fontId="16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vertical="bottom"/>
    </xf>
    <xf borderId="15" fillId="8" fontId="22" numFmtId="0" xfId="0" applyAlignment="1" applyBorder="1" applyFill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center" vertical="center"/>
    </xf>
    <xf borderId="15" fillId="0" fontId="1" numFmtId="0" xfId="0" applyAlignment="1" applyBorder="1" applyFont="1">
      <alignment vertical="bottom"/>
    </xf>
    <xf borderId="0" fillId="3" fontId="1" numFmtId="0" xfId="0" applyAlignment="1" applyFill="1" applyFont="1">
      <alignment horizontal="center" readingOrder="0" vertical="center"/>
    </xf>
    <xf borderId="17" fillId="3" fontId="1" numFmtId="0" xfId="0" applyAlignment="1" applyBorder="1" applyFill="1" applyFont="1">
      <alignment horizontal="center" readingOrder="0" vertical="center"/>
    </xf>
    <xf borderId="15" fillId="8" fontId="22" numFmtId="0" xfId="0" applyAlignment="1" applyBorder="1" applyFill="1" applyFont="1">
      <alignment horizontal="center" shrinkToFit="0" vertical="center" wrapText="1"/>
    </xf>
    <xf borderId="15" fillId="3" fontId="23" numFmtId="0" xfId="0" applyAlignment="1" applyBorder="1" applyFill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15" fillId="6" fontId="24" numFmtId="0" xfId="0" applyAlignment="1" applyBorder="1" applyFill="1" applyFont="1">
      <alignment horizontal="center" readingOrder="0" shrinkToFit="0" vertical="center" wrapText="1"/>
    </xf>
    <xf borderId="15" fillId="0" fontId="25" numFmtId="0" xfId="0" applyAlignment="1" applyBorder="1" applyFont="1">
      <alignment horizontal="center" shrinkToFit="0" vertical="center" wrapText="1"/>
    </xf>
    <xf borderId="15" fillId="15" fontId="23" numFmtId="0" xfId="0" applyAlignment="1" applyBorder="1" applyFill="1" applyFont="1">
      <alignment horizontal="center" shrinkToFit="0" vertical="center" wrapText="1"/>
    </xf>
    <xf borderId="15" fillId="16" fontId="1" numFmtId="0" xfId="0" applyAlignment="1" applyBorder="1" applyFill="1" applyFont="1">
      <alignment horizontal="center" shrinkToFit="0" vertical="center" wrapText="1"/>
    </xf>
    <xf borderId="18" fillId="2" fontId="19" numFmtId="0" xfId="0" applyAlignment="1" applyBorder="1" applyFill="1" applyFont="1">
      <alignment horizontal="center" vertical="center"/>
    </xf>
    <xf borderId="15" fillId="17" fontId="21" numFmtId="0" xfId="0" applyAlignment="1" applyBorder="1" applyFill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5" fillId="18" fontId="26" numFmtId="0" xfId="0" applyAlignment="1" applyBorder="1" applyFill="1" applyFont="1">
      <alignment horizontal="center" shrinkToFit="0" vertical="center" wrapText="1"/>
    </xf>
    <xf borderId="18" fillId="0" fontId="19" numFmtId="0" xfId="0" applyAlignment="1" applyBorder="1" applyFont="1">
      <alignment horizontal="center" shrinkToFit="0" vertical="center" wrapText="1"/>
    </xf>
    <xf borderId="15" fillId="0" fontId="22" numFmtId="0" xfId="0" applyAlignment="1" applyBorder="1" applyFont="1">
      <alignment horizontal="center" shrinkToFit="0" vertical="center" wrapText="1"/>
    </xf>
    <xf borderId="6" fillId="8" fontId="22" numFmtId="0" xfId="0" applyAlignment="1" applyBorder="1" applyFill="1" applyFont="1">
      <alignment horizontal="center" shrinkToFit="0" vertical="center" wrapText="1"/>
    </xf>
    <xf borderId="15" fillId="8" fontId="23" numFmtId="0" xfId="0" applyAlignment="1" applyBorder="1" applyFill="1" applyFont="1">
      <alignment horizontal="center" shrinkToFit="0" vertical="center" wrapText="1"/>
    </xf>
    <xf borderId="15" fillId="5" fontId="13" numFmtId="0" xfId="0" applyAlignment="1" applyBorder="1" applyFill="1" applyFont="1">
      <alignment horizontal="center" shrinkToFit="0" vertical="center" wrapText="1"/>
    </xf>
    <xf borderId="15" fillId="8" fontId="27" numFmtId="0" xfId="0" applyAlignment="1" applyBorder="1" applyFill="1" applyFont="1">
      <alignment horizontal="center" shrinkToFit="0" vertical="center" wrapText="1"/>
    </xf>
    <xf borderId="18" fillId="8" fontId="19" numFmtId="0" xfId="0" applyAlignment="1" applyBorder="1" applyFill="1" applyFont="1">
      <alignment horizontal="center" shrinkToFit="0" vertical="center" wrapText="1"/>
    </xf>
    <xf borderId="15" fillId="7" fontId="28" numFmtId="0" xfId="0" applyAlignment="1" applyBorder="1" applyFill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8" fillId="8" fontId="19" numFmtId="0" xfId="0" applyAlignment="1" applyBorder="1" applyFill="1" applyFont="1">
      <alignment horizontal="center" vertical="center"/>
    </xf>
    <xf borderId="15" fillId="19" fontId="29" numFmtId="0" xfId="0" applyAlignment="1" applyBorder="1" applyFill="1" applyFont="1">
      <alignment horizontal="center" shrinkToFit="0" vertical="center" wrapText="1"/>
    </xf>
    <xf borderId="15" fillId="8" fontId="19" numFmtId="0" xfId="0" applyAlignment="1" applyBorder="1" applyFill="1" applyFont="1">
      <alignment horizontal="center" shrinkToFit="0" vertical="center" wrapText="1"/>
    </xf>
    <xf borderId="15" fillId="20" fontId="13" numFmtId="0" xfId="0" applyAlignment="1" applyBorder="1" applyFill="1" applyFont="1">
      <alignment horizontal="center" shrinkToFit="0" vertical="center" wrapText="1"/>
    </xf>
    <xf borderId="15" fillId="12" fontId="30" numFmtId="0" xfId="0" applyAlignment="1" applyBorder="1" applyFill="1" applyFont="1">
      <alignment horizontal="center" shrinkToFit="0" vertical="center" wrapText="1"/>
    </xf>
    <xf borderId="0" fillId="21" fontId="1" numFmtId="0" xfId="0" applyAlignment="1" applyFill="1" applyFont="1">
      <alignment horizontal="center" vertical="center"/>
    </xf>
    <xf borderId="15" fillId="4" fontId="31" numFmtId="0" xfId="0" applyAlignment="1" applyBorder="1" applyFill="1" applyFont="1">
      <alignment horizontal="center" shrinkToFit="0" vertical="center" wrapText="1"/>
    </xf>
    <xf borderId="15" fillId="22" fontId="32" numFmtId="0" xfId="0" applyAlignment="1" applyBorder="1" applyFill="1" applyFont="1">
      <alignment horizontal="center" shrinkToFit="0" vertical="center" wrapText="1"/>
    </xf>
    <xf borderId="15" fillId="23" fontId="13" numFmtId="0" xfId="0" applyAlignment="1" applyBorder="1" applyFill="1" applyFont="1">
      <alignment horizontal="center" shrinkToFit="0" vertical="center" wrapText="1"/>
    </xf>
    <xf borderId="15" fillId="24" fontId="33" numFmtId="0" xfId="0" applyAlignment="1" applyBorder="1" applyFill="1" applyFont="1">
      <alignment horizontal="center" shrinkToFit="0" vertical="center" wrapText="1"/>
    </xf>
    <xf borderId="15" fillId="4" fontId="34" numFmtId="0" xfId="0" applyAlignment="1" applyBorder="1" applyFill="1" applyFont="1">
      <alignment horizontal="center" shrinkToFit="0" vertical="center" wrapText="1"/>
    </xf>
    <xf borderId="15" fillId="6" fontId="13" numFmtId="0" xfId="0" applyAlignment="1" applyBorder="1" applyFill="1" applyFont="1">
      <alignment horizontal="center" shrinkToFit="0" vertical="center" wrapText="1"/>
    </xf>
    <xf borderId="15" fillId="25" fontId="35" numFmtId="0" xfId="0" applyAlignment="1" applyBorder="1" applyFill="1" applyFont="1">
      <alignment horizontal="center" shrinkToFit="0" vertical="center" wrapText="1"/>
    </xf>
    <xf borderId="18" fillId="0" fontId="17" numFmtId="0" xfId="0" applyAlignment="1" applyBorder="1" applyFont="1">
      <alignment horizontal="center" vertical="center"/>
    </xf>
    <xf borderId="15" fillId="26" fontId="36" numFmtId="0" xfId="0" applyAlignment="1" applyBorder="1" applyFill="1" applyFont="1">
      <alignment horizontal="center" shrinkToFit="0" vertical="center" wrapText="1"/>
    </xf>
    <xf borderId="15" fillId="27" fontId="37" numFmtId="0" xfId="0" applyAlignment="1" applyBorder="1" applyFill="1" applyFont="1">
      <alignment horizontal="center" shrinkToFit="0" vertical="center" wrapText="1"/>
    </xf>
    <xf borderId="15" fillId="7" fontId="1" numFmtId="0" xfId="0" applyAlignment="1" applyBorder="1" applyFill="1" applyFont="1">
      <alignment vertical="bottom"/>
    </xf>
    <xf borderId="17" fillId="0" fontId="1" numFmtId="0" xfId="0" applyAlignment="1" applyBorder="1" applyFont="1">
      <alignment horizontal="center" vertical="center"/>
    </xf>
    <xf borderId="17" fillId="7" fontId="1" numFmtId="0" xfId="0" applyAlignment="1" applyBorder="1" applyFill="1" applyFont="1">
      <alignment horizontal="center" vertical="center"/>
    </xf>
    <xf borderId="15" fillId="28" fontId="38" numFmtId="0" xfId="0" applyAlignment="1" applyBorder="1" applyFill="1" applyFont="1">
      <alignment horizontal="center" shrinkToFit="0" vertical="center" wrapText="1"/>
    </xf>
    <xf borderId="15" fillId="11" fontId="39" numFmtId="0" xfId="0" applyAlignment="1" applyBorder="1" applyFill="1" applyFont="1">
      <alignment horizontal="center" shrinkToFit="0" vertical="center" wrapText="1"/>
    </xf>
    <xf borderId="15" fillId="9" fontId="40" numFmtId="0" xfId="0" applyAlignment="1" applyBorder="1" applyFill="1" applyFont="1">
      <alignment horizontal="center" shrinkToFit="0" vertical="center" wrapText="1"/>
    </xf>
    <xf borderId="15" fillId="29" fontId="28" numFmtId="0" xfId="0" applyAlignment="1" applyBorder="1" applyFill="1" applyFont="1">
      <alignment horizontal="center" shrinkToFit="0" vertical="center" wrapText="1"/>
    </xf>
    <xf borderId="18" fillId="0" fontId="19" numFmtId="0" xfId="0" applyAlignment="1" applyBorder="1" applyFont="1">
      <alignment horizontal="center" vertical="center"/>
    </xf>
    <xf borderId="15" fillId="30" fontId="12" numFmtId="0" xfId="0" applyAlignment="1" applyBorder="1" applyFill="1" applyFont="1">
      <alignment horizontal="center" shrinkToFit="0" vertical="center" wrapText="1"/>
    </xf>
    <xf borderId="15" fillId="5" fontId="41" numFmtId="0" xfId="0" applyAlignment="1" applyBorder="1" applyFill="1" applyFont="1">
      <alignment horizontal="center" shrinkToFit="0" vertical="center" wrapText="1"/>
    </xf>
    <xf borderId="8" fillId="11" fontId="1" numFmtId="0" xfId="0" applyAlignment="1" applyBorder="1" applyFill="1" applyFon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8" fillId="3" fontId="1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63"/>
    <col customWidth="1" min="2" max="2" width="12.5"/>
    <col customWidth="1" min="3" max="3" width="14.38"/>
    <col customWidth="1" min="4" max="5" width="6.38"/>
    <col customWidth="1" hidden="1" min="6" max="6" width="6.38"/>
    <col customWidth="1" min="7" max="7" width="6.38"/>
    <col customWidth="1" hidden="1" min="8" max="8" width="6.38"/>
    <col customWidth="1" min="9" max="9" width="6.38"/>
    <col customWidth="1" hidden="1" min="10" max="10" width="6.38"/>
    <col customWidth="1" min="11" max="11" width="6.38"/>
    <col customWidth="1" hidden="1" min="12" max="12" width="6.38"/>
    <col customWidth="1" min="13" max="13" width="6.38"/>
    <col customWidth="1" min="18" max="20" width="15.5"/>
    <col customWidth="1" min="21" max="21" width="21.63"/>
    <col customWidth="1" min="22" max="41" width="10.5"/>
  </cols>
  <sheetData>
    <row r="1" ht="37.5" customHeight="1">
      <c r="A1" s="4" t="str">
        <f>IMAGE("https://raw.githubusercontent.com/RedCat161/AoM/main/Runes/Rune.jpg")</f>
        <v/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10" t="s">
        <v>5</v>
      </c>
      <c r="N1" s="11" t="s">
        <v>6</v>
      </c>
      <c r="R1" s="12"/>
      <c r="S1" s="13"/>
      <c r="T1" s="12"/>
      <c r="U1" s="13"/>
      <c r="V1" s="12"/>
      <c r="W1" s="1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7.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7"/>
      <c r="N2" s="18" t="s">
        <v>7</v>
      </c>
      <c r="O2" s="6"/>
      <c r="P2" s="6"/>
      <c r="Q2" s="20" t="str">
        <f>IMAGE("https://raw.githubusercontent.com/RedCat161/AoM/main/photo_2026-01-11_22-35-59.jpg")</f>
        <v/>
      </c>
      <c r="R2" s="12"/>
      <c r="S2" s="23" t="s">
        <v>9</v>
      </c>
      <c r="T2" s="12"/>
      <c r="U2" s="13"/>
      <c r="V2" s="12"/>
      <c r="W2" s="1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37.5" customHeight="1">
      <c r="A3" s="25"/>
      <c r="B3" s="25" t="str">
        <f>IMAGE("https://raw.githubusercontent.com/RedCat161/AoM/main/RedCat_200.jpg")</f>
        <v/>
      </c>
      <c r="C3" s="26" t="s">
        <v>19</v>
      </c>
      <c r="D3" s="7"/>
      <c r="E3" s="27" t="s">
        <v>18</v>
      </c>
      <c r="F3" s="28"/>
      <c r="G3" s="27" t="s">
        <v>13</v>
      </c>
      <c r="H3" s="29"/>
      <c r="I3" s="27" t="s">
        <v>11</v>
      </c>
      <c r="J3" s="29"/>
      <c r="K3" s="27" t="s">
        <v>3</v>
      </c>
      <c r="M3" s="17"/>
      <c r="N3" s="30" t="s">
        <v>20</v>
      </c>
      <c r="O3" s="31"/>
      <c r="P3" s="32" t="s">
        <v>21</v>
      </c>
      <c r="Q3" s="31"/>
      <c r="R3" s="12"/>
      <c r="S3" s="17"/>
      <c r="T3" s="12"/>
      <c r="U3" s="13"/>
      <c r="V3" s="12"/>
      <c r="W3" s="12"/>
    </row>
    <row r="4" ht="37.5" customHeight="1">
      <c r="A4" s="25"/>
      <c r="C4" s="14"/>
      <c r="D4" s="16"/>
      <c r="E4" s="33" t="str">
        <f>VLOOKUP(E3,'Созвездия'!A:B,2,FALSE)</f>
        <v/>
      </c>
      <c r="F4" s="33"/>
      <c r="G4" s="33" t="str">
        <f>VLOOKUP(G3,'Созвездия'!A:B,2,FALSE)</f>
        <v/>
      </c>
      <c r="H4" s="34"/>
      <c r="I4" s="34" t="str">
        <f>VLOOKUP(I3,'Созвездия'!A:B,2,FALSE)</f>
        <v/>
      </c>
      <c r="J4" s="34"/>
      <c r="K4" s="34" t="str">
        <f>VLOOKUP(K3,'Созвездия'!A:B,2,FALSE)</f>
        <v/>
      </c>
      <c r="M4" s="35"/>
      <c r="N4" s="36" t="s">
        <v>22</v>
      </c>
      <c r="O4" s="31"/>
      <c r="P4" s="37" t="s">
        <v>23</v>
      </c>
      <c r="Q4" s="31"/>
      <c r="S4" s="35"/>
      <c r="T4" s="38"/>
      <c r="U4" s="39"/>
    </row>
    <row r="5" ht="37.5" customHeight="1">
      <c r="A5" s="40" t="s">
        <v>24</v>
      </c>
      <c r="B5" s="41" t="s">
        <v>25</v>
      </c>
      <c r="C5" s="42" t="s">
        <v>26</v>
      </c>
      <c r="D5" s="43"/>
      <c r="E5" s="44" t="s">
        <v>27</v>
      </c>
      <c r="F5" s="6"/>
      <c r="G5" s="6"/>
      <c r="H5" s="6"/>
      <c r="I5" s="6"/>
      <c r="J5" s="6"/>
      <c r="K5" s="7"/>
      <c r="L5" s="45"/>
      <c r="M5" s="46"/>
      <c r="N5" s="47" t="s">
        <v>28</v>
      </c>
      <c r="O5" s="47" t="s">
        <v>29</v>
      </c>
      <c r="P5" s="47" t="s">
        <v>30</v>
      </c>
      <c r="Q5" s="47" t="s">
        <v>31</v>
      </c>
      <c r="R5" s="48" t="s">
        <v>21</v>
      </c>
      <c r="S5" s="49" t="s">
        <v>32</v>
      </c>
      <c r="T5" s="50" t="s">
        <v>33</v>
      </c>
      <c r="U5" s="51" t="s">
        <v>34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ht="37.5" customHeight="1">
      <c r="A6" s="40">
        <v>1.0</v>
      </c>
      <c r="B6" s="52" t="s">
        <v>35</v>
      </c>
      <c r="C6" s="53" t="s">
        <v>36</v>
      </c>
      <c r="D6" s="54" t="str">
        <f>IMAGE("https://raw.githubusercontent.com/RedCat161/AoM/main/fat/fat2_200.jpg")</f>
        <v/>
      </c>
      <c r="E6" s="55" t="str">
        <f>'Созвездия'!B4</f>
        <v/>
      </c>
      <c r="F6" s="55" t="s">
        <v>8</v>
      </c>
      <c r="G6" s="55" t="str">
        <f>'Созвездия'!B4</f>
        <v/>
      </c>
      <c r="H6" s="55" t="s">
        <v>8</v>
      </c>
      <c r="I6" s="55" t="str">
        <f>'Созвездия'!B6</f>
        <v/>
      </c>
      <c r="J6" s="55" t="s">
        <v>11</v>
      </c>
      <c r="K6" s="55" t="str">
        <f>'Созвездия'!B6</f>
        <v/>
      </c>
      <c r="L6" s="56" t="s">
        <v>11</v>
      </c>
      <c r="M6" s="57">
        <f t="shared" ref="M6:M214" si="1">SUM(
  MAP(
    UNIQUE({$E$3;$G$3;$I$3;$K$3}),
    LAMBDA(x,
      MIN(
        COUNTIF({$E$3;$G$3;$I$3;$K$3}, x),
        COUNTIF({F6;H6;J6;L6}, x)
      )
    )
  )
)
</f>
        <v>1</v>
      </c>
      <c r="N6" s="58"/>
      <c r="O6" s="29"/>
      <c r="P6" s="58"/>
      <c r="Q6" s="29"/>
      <c r="R6" s="29"/>
      <c r="S6" s="59"/>
      <c r="T6" s="60"/>
      <c r="U6" s="59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37.5" customHeight="1">
      <c r="A7" s="40">
        <v>2.0</v>
      </c>
      <c r="B7" s="52" t="s">
        <v>35</v>
      </c>
      <c r="C7" s="53" t="s">
        <v>37</v>
      </c>
      <c r="D7" s="54" t="str">
        <f>IMAGE("https://raw.githubusercontent.com/RedCat161/AoM/main/fat/fat3_200.jpg")</f>
        <v/>
      </c>
      <c r="E7" s="55" t="str">
        <f>'Созвездия'!B9</f>
        <v/>
      </c>
      <c r="F7" s="55" t="s">
        <v>14</v>
      </c>
      <c r="G7" s="55" t="str">
        <f>'Созвездия'!B4</f>
        <v/>
      </c>
      <c r="H7" s="55" t="s">
        <v>8</v>
      </c>
      <c r="I7" s="55" t="str">
        <f>'Созвездия'!B7</f>
        <v/>
      </c>
      <c r="J7" s="55" t="s">
        <v>12</v>
      </c>
      <c r="K7" s="55" t="str">
        <f>'Созвездия'!B6</f>
        <v/>
      </c>
      <c r="L7" s="56" t="s">
        <v>11</v>
      </c>
      <c r="M7" s="57">
        <f t="shared" si="1"/>
        <v>1</v>
      </c>
      <c r="N7" s="61" t="s">
        <v>38</v>
      </c>
      <c r="O7" s="62"/>
      <c r="P7" s="29"/>
      <c r="Q7" s="29"/>
      <c r="R7" s="29"/>
      <c r="S7" s="59"/>
      <c r="T7" s="60"/>
      <c r="U7" s="59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37.5" customHeight="1">
      <c r="A8" s="40">
        <v>3.0</v>
      </c>
      <c r="B8" s="52" t="s">
        <v>35</v>
      </c>
      <c r="C8" s="53" t="s">
        <v>39</v>
      </c>
      <c r="D8" s="54" t="str">
        <f>IMAGE("https://raw.githubusercontent.com/RedCat161/AoM/main/fat/fat4_200.jpg")</f>
        <v/>
      </c>
      <c r="E8" s="55" t="str">
        <f>'Созвездия'!B13</f>
        <v/>
      </c>
      <c r="F8" s="55" t="s">
        <v>18</v>
      </c>
      <c r="G8" s="55" t="str">
        <f>'Созвездия'!B13</f>
        <v/>
      </c>
      <c r="H8" s="55" t="s">
        <v>18</v>
      </c>
      <c r="I8" s="55" t="str">
        <f>'Созвездия'!B13</f>
        <v/>
      </c>
      <c r="J8" s="55" t="s">
        <v>18</v>
      </c>
      <c r="K8" s="55" t="str">
        <f>'Созвездия'!B4</f>
        <v/>
      </c>
      <c r="L8" s="56" t="s">
        <v>8</v>
      </c>
      <c r="M8" s="57">
        <f t="shared" si="1"/>
        <v>1</v>
      </c>
      <c r="N8" s="58"/>
      <c r="O8" s="29"/>
      <c r="P8" s="62"/>
      <c r="Q8" s="29"/>
      <c r="R8" s="29"/>
      <c r="S8" s="59"/>
      <c r="T8" s="60"/>
      <c r="U8" s="5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ht="37.5" customHeight="1">
      <c r="A9" s="40">
        <v>4.0</v>
      </c>
      <c r="B9" s="52" t="s">
        <v>35</v>
      </c>
      <c r="C9" s="53" t="s">
        <v>40</v>
      </c>
      <c r="D9" s="54" t="str">
        <f>IMAGE("https://raw.githubusercontent.com/RedCat161/AoM/main/fat/fat1_200.jpg")</f>
        <v/>
      </c>
      <c r="E9" s="55" t="str">
        <f>'Созвездия'!B9</f>
        <v/>
      </c>
      <c r="F9" s="55" t="s">
        <v>14</v>
      </c>
      <c r="G9" s="55" t="str">
        <f>'Созвездия'!B5</f>
        <v/>
      </c>
      <c r="H9" s="55" t="s">
        <v>10</v>
      </c>
      <c r="I9" s="55" t="str">
        <f>'Созвездия'!B7</f>
        <v/>
      </c>
      <c r="J9" s="55" t="s">
        <v>12</v>
      </c>
      <c r="K9" s="55" t="str">
        <f>'Созвездия'!B6</f>
        <v/>
      </c>
      <c r="L9" s="56" t="s">
        <v>11</v>
      </c>
      <c r="M9" s="57">
        <f t="shared" si="1"/>
        <v>1</v>
      </c>
      <c r="N9" s="63"/>
      <c r="O9" s="61" t="s">
        <v>38</v>
      </c>
      <c r="P9" s="58"/>
      <c r="Q9" s="29"/>
      <c r="R9" s="29"/>
      <c r="S9" s="59"/>
      <c r="T9" s="60"/>
      <c r="U9" s="5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ht="37.5" customHeight="1">
      <c r="A10" s="40">
        <v>5.0</v>
      </c>
      <c r="B10" s="52" t="s">
        <v>35</v>
      </c>
      <c r="C10" s="53" t="s">
        <v>41</v>
      </c>
      <c r="D10" s="64" t="str">
        <f>IMAGE("https://raw.githubusercontent.com/RedCat161/AoM/main/fat/fat6_200.jpg")</f>
        <v/>
      </c>
      <c r="E10" s="55" t="str">
        <f>'Созвездия'!B12</f>
        <v/>
      </c>
      <c r="F10" s="55" t="s">
        <v>17</v>
      </c>
      <c r="G10" s="55" t="str">
        <f>'Созвездия'!B12</f>
        <v/>
      </c>
      <c r="H10" s="55" t="s">
        <v>17</v>
      </c>
      <c r="I10" s="55" t="str">
        <f>'Созвездия'!B7</f>
        <v/>
      </c>
      <c r="J10" s="55" t="s">
        <v>12</v>
      </c>
      <c r="K10" s="55" t="str">
        <f>'Созвездия'!B7</f>
        <v/>
      </c>
      <c r="L10" s="56" t="s">
        <v>12</v>
      </c>
      <c r="M10" s="57">
        <f t="shared" si="1"/>
        <v>0</v>
      </c>
      <c r="N10" s="58"/>
      <c r="O10" s="29"/>
      <c r="P10" s="58"/>
      <c r="Q10" s="29"/>
      <c r="R10" s="29"/>
      <c r="S10" s="59"/>
      <c r="T10" s="60"/>
      <c r="U10" s="59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ht="37.5" customHeight="1">
      <c r="A11" s="40">
        <v>6.0</v>
      </c>
      <c r="B11" s="52" t="s">
        <v>35</v>
      </c>
      <c r="C11" s="65" t="s">
        <v>42</v>
      </c>
      <c r="D11" s="64" t="str">
        <f>IMAGE("https://raw.githubusercontent.com/RedCat161/AoM/main/fat/fat5_200.jpg")</f>
        <v/>
      </c>
      <c r="E11" s="55" t="str">
        <f>'Созвездия'!B10</f>
        <v/>
      </c>
      <c r="F11" s="55" t="s">
        <v>15</v>
      </c>
      <c r="G11" s="55" t="str">
        <f>'Созвездия'!B6</f>
        <v/>
      </c>
      <c r="H11" s="55" t="s">
        <v>11</v>
      </c>
      <c r="I11" s="55" t="str">
        <f>'Созвездия'!B2</f>
        <v/>
      </c>
      <c r="J11" s="55" t="s">
        <v>2</v>
      </c>
      <c r="K11" s="55" t="str">
        <f>'Созвездия'!B9</f>
        <v/>
      </c>
      <c r="L11" s="56" t="s">
        <v>14</v>
      </c>
      <c r="M11" s="57">
        <f t="shared" si="1"/>
        <v>1</v>
      </c>
      <c r="N11" s="58"/>
      <c r="O11" s="29"/>
      <c r="P11" s="61" t="s">
        <v>38</v>
      </c>
      <c r="Q11" s="29"/>
      <c r="R11" s="29"/>
      <c r="S11" s="59"/>
      <c r="T11" s="66" t="s">
        <v>43</v>
      </c>
      <c r="U11" s="59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ht="37.5" customHeight="1">
      <c r="A12" s="40">
        <v>7.0</v>
      </c>
      <c r="B12" s="67" t="s">
        <v>44</v>
      </c>
      <c r="C12" s="53" t="s">
        <v>45</v>
      </c>
      <c r="D12" s="54" t="str">
        <f>IMAGE("https://raw.githubusercontent.com/RedCat161/AoM/main/circus/circus3_200.jpg")</f>
        <v/>
      </c>
      <c r="E12" s="55" t="str">
        <f>'Созвездия'!B9</f>
        <v/>
      </c>
      <c r="F12" s="55" t="s">
        <v>14</v>
      </c>
      <c r="G12" s="55" t="str">
        <f>'Созвездия'!B8</f>
        <v/>
      </c>
      <c r="H12" s="55" t="s">
        <v>13</v>
      </c>
      <c r="I12" s="55" t="str">
        <f>'Созвездия'!B6</f>
        <v/>
      </c>
      <c r="J12" s="55" t="s">
        <v>11</v>
      </c>
      <c r="K12" s="55" t="str">
        <f>'Созвездия'!B2</f>
        <v/>
      </c>
      <c r="L12" s="56" t="s">
        <v>2</v>
      </c>
      <c r="M12" s="57">
        <f t="shared" si="1"/>
        <v>2</v>
      </c>
      <c r="N12" s="61" t="s">
        <v>38</v>
      </c>
      <c r="O12" s="29"/>
      <c r="P12" s="62"/>
      <c r="Q12" s="29"/>
      <c r="R12" s="29"/>
      <c r="S12" s="59"/>
      <c r="T12" s="60"/>
      <c r="U12" s="5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ht="37.5" customHeight="1">
      <c r="A13" s="40">
        <v>8.0</v>
      </c>
      <c r="B13" s="67" t="s">
        <v>44</v>
      </c>
      <c r="C13" s="53" t="s">
        <v>46</v>
      </c>
      <c r="D13" s="54" t="str">
        <f>IMAGE("https://raw.githubusercontent.com/RedCat161/AoM/main/circus/circus4_200.jpg")</f>
        <v/>
      </c>
      <c r="E13" s="55" t="str">
        <f>'Созвездия'!B12</f>
        <v/>
      </c>
      <c r="F13" s="55" t="s">
        <v>17</v>
      </c>
      <c r="G13" s="55" t="str">
        <f>'Созвездия'!B6</f>
        <v/>
      </c>
      <c r="H13" s="55" t="s">
        <v>11</v>
      </c>
      <c r="I13" s="55" t="str">
        <f>'Созвездия'!B2</f>
        <v/>
      </c>
      <c r="J13" s="55" t="s">
        <v>2</v>
      </c>
      <c r="K13" s="55" t="str">
        <f>'Созвездия'!B12</f>
        <v/>
      </c>
      <c r="L13" s="56" t="s">
        <v>17</v>
      </c>
      <c r="M13" s="57">
        <f t="shared" si="1"/>
        <v>1</v>
      </c>
      <c r="N13" s="58"/>
      <c r="O13" s="29"/>
      <c r="P13" s="29"/>
      <c r="Q13" s="29"/>
      <c r="R13" s="29"/>
      <c r="S13" s="59"/>
      <c r="T13" s="60"/>
      <c r="U13" s="59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ht="37.5" customHeight="1">
      <c r="A14" s="40">
        <v>9.0</v>
      </c>
      <c r="B14" s="67" t="s">
        <v>44</v>
      </c>
      <c r="C14" s="53" t="s">
        <v>47</v>
      </c>
      <c r="D14" s="54" t="str">
        <f>IMAGE("https://raw.githubusercontent.com/RedCat161/AoM/main/circus/circus1_200.jpg")</f>
        <v/>
      </c>
      <c r="E14" s="55" t="str">
        <f>'Созвездия'!B9</f>
        <v/>
      </c>
      <c r="F14" s="55" t="s">
        <v>14</v>
      </c>
      <c r="G14" s="55" t="str">
        <f>'Созвездия'!B11</f>
        <v/>
      </c>
      <c r="H14" s="55" t="s">
        <v>16</v>
      </c>
      <c r="I14" s="55" t="str">
        <f>'Созвездия'!B3</f>
        <v/>
      </c>
      <c r="J14" s="55" t="s">
        <v>3</v>
      </c>
      <c r="K14" s="55" t="str">
        <f>'Созвездия'!B11</f>
        <v/>
      </c>
      <c r="L14" s="56" t="s">
        <v>16</v>
      </c>
      <c r="M14" s="57">
        <f t="shared" si="1"/>
        <v>1</v>
      </c>
      <c r="N14" s="61" t="s">
        <v>38</v>
      </c>
      <c r="O14" s="29"/>
      <c r="P14" s="68" t="s">
        <v>38</v>
      </c>
      <c r="Q14" s="29"/>
      <c r="R14" s="29"/>
      <c r="S14" s="59"/>
      <c r="T14" s="60"/>
      <c r="U14" s="59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ht="37.5" customHeight="1">
      <c r="A15" s="40">
        <v>10.0</v>
      </c>
      <c r="B15" s="67" t="s">
        <v>44</v>
      </c>
      <c r="C15" s="53" t="s">
        <v>48</v>
      </c>
      <c r="D15" s="54" t="str">
        <f>IMAGE("https://raw.githubusercontent.com/RedCat161/AoM/main/circus/circus2_200.jpg")</f>
        <v/>
      </c>
      <c r="E15" s="55" t="str">
        <f>'Созвездия'!B8</f>
        <v/>
      </c>
      <c r="F15" s="55" t="s">
        <v>13</v>
      </c>
      <c r="G15" s="55" t="str">
        <f>'Созвездия'!B8</f>
        <v/>
      </c>
      <c r="H15" s="55" t="s">
        <v>13</v>
      </c>
      <c r="I15" s="55" t="str">
        <f>'Созвездия'!B13</f>
        <v/>
      </c>
      <c r="J15" s="55" t="s">
        <v>18</v>
      </c>
      <c r="K15" s="55" t="str">
        <f>'Созвездия'!B13</f>
        <v/>
      </c>
      <c r="L15" s="56" t="s">
        <v>18</v>
      </c>
      <c r="M15" s="57">
        <f t="shared" si="1"/>
        <v>2</v>
      </c>
      <c r="N15" s="58"/>
      <c r="O15" s="58"/>
      <c r="P15" s="62"/>
      <c r="Q15" s="29"/>
      <c r="R15" s="29"/>
      <c r="S15" s="59"/>
      <c r="T15" s="60"/>
      <c r="U15" s="5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ht="37.5" customHeight="1">
      <c r="A16" s="40">
        <v>11.0</v>
      </c>
      <c r="B16" s="67" t="s">
        <v>44</v>
      </c>
      <c r="C16" s="53" t="s">
        <v>49</v>
      </c>
      <c r="D16" s="54" t="str">
        <f>IMAGE("https://raw.githubusercontent.com/RedCat161/AoM/main/circus/circus5_200.jpg")</f>
        <v/>
      </c>
      <c r="E16" s="55" t="str">
        <f>'Созвездия'!B11</f>
        <v/>
      </c>
      <c r="F16" s="55" t="s">
        <v>16</v>
      </c>
      <c r="G16" s="55" t="str">
        <f>'Созвездия'!B8</f>
        <v/>
      </c>
      <c r="H16" s="55" t="s">
        <v>13</v>
      </c>
      <c r="I16" s="55" t="str">
        <f>'Созвездия'!B6</f>
        <v/>
      </c>
      <c r="J16" s="55" t="s">
        <v>11</v>
      </c>
      <c r="K16" s="55" t="str">
        <f>'Созвездия'!B9</f>
        <v/>
      </c>
      <c r="L16" s="56" t="s">
        <v>14</v>
      </c>
      <c r="M16" s="57">
        <f t="shared" si="1"/>
        <v>2</v>
      </c>
      <c r="N16" s="58"/>
      <c r="O16" s="61" t="s">
        <v>38</v>
      </c>
      <c r="P16" s="61"/>
      <c r="Q16" s="29"/>
      <c r="R16" s="69" t="s">
        <v>50</v>
      </c>
      <c r="S16" s="59"/>
      <c r="T16" s="60"/>
      <c r="U16" s="59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ht="37.5" customHeight="1">
      <c r="A17" s="40">
        <v>12.0</v>
      </c>
      <c r="B17" s="67" t="s">
        <v>44</v>
      </c>
      <c r="C17" s="53" t="s">
        <v>51</v>
      </c>
      <c r="D17" s="54" t="str">
        <f>IMAGE("https://raw.githubusercontent.com/RedCat161/AoM/main/circus/circus6_200.jpg")</f>
        <v/>
      </c>
      <c r="E17" s="55" t="str">
        <f>'Созвездия'!B9</f>
        <v/>
      </c>
      <c r="F17" s="55" t="s">
        <v>14</v>
      </c>
      <c r="G17" s="55" t="str">
        <f>'Созвездия'!B6</f>
        <v/>
      </c>
      <c r="H17" s="55" t="s">
        <v>11</v>
      </c>
      <c r="I17" s="55" t="str">
        <f>'Созвездия'!B13</f>
        <v/>
      </c>
      <c r="J17" s="55" t="s">
        <v>18</v>
      </c>
      <c r="K17" s="55" t="str">
        <f>'Созвездия'!B8</f>
        <v/>
      </c>
      <c r="L17" s="56" t="s">
        <v>13</v>
      </c>
      <c r="M17" s="57">
        <f t="shared" si="1"/>
        <v>3</v>
      </c>
      <c r="N17" s="61" t="s">
        <v>38</v>
      </c>
      <c r="O17" s="61" t="s">
        <v>38</v>
      </c>
      <c r="P17" s="58"/>
      <c r="Q17" s="29"/>
      <c r="R17" s="29"/>
      <c r="S17" s="59"/>
      <c r="T17" s="60"/>
      <c r="U17" s="5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ht="37.5" customHeight="1">
      <c r="A18" s="40">
        <v>13.0</v>
      </c>
      <c r="B18" s="70" t="s">
        <v>52</v>
      </c>
      <c r="C18" s="53" t="s">
        <v>53</v>
      </c>
      <c r="D18" s="54" t="str">
        <f>IMAGE("https://raw.githubusercontent.com/RedCat161/AoM/main/Al/Al2_200.jpg")</f>
        <v/>
      </c>
      <c r="E18" s="55" t="str">
        <f>'Созвездия'!B4</f>
        <v/>
      </c>
      <c r="F18" s="55" t="s">
        <v>8</v>
      </c>
      <c r="G18" s="55" t="str">
        <f>'Созвездия'!B4</f>
        <v/>
      </c>
      <c r="H18" s="55" t="s">
        <v>8</v>
      </c>
      <c r="I18" s="55" t="str">
        <f>'Созвездия'!B4</f>
        <v/>
      </c>
      <c r="J18" s="55" t="s">
        <v>8</v>
      </c>
      <c r="K18" s="55" t="str">
        <f>'Созвездия'!B8</f>
        <v/>
      </c>
      <c r="L18" s="56" t="s">
        <v>13</v>
      </c>
      <c r="M18" s="57">
        <f t="shared" si="1"/>
        <v>1</v>
      </c>
      <c r="N18" s="58"/>
      <c r="O18" s="29"/>
      <c r="P18" s="29"/>
      <c r="Q18" s="29"/>
      <c r="R18" s="29"/>
      <c r="S18" s="71" t="s">
        <v>54</v>
      </c>
      <c r="T18" s="72"/>
      <c r="U18" s="73" t="s">
        <v>55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ht="37.5" customHeight="1">
      <c r="A19" s="40">
        <v>14.0</v>
      </c>
      <c r="B19" s="70" t="s">
        <v>52</v>
      </c>
      <c r="C19" s="53" t="s">
        <v>56</v>
      </c>
      <c r="D19" s="54" t="str">
        <f>IMAGE("https://raw.githubusercontent.com/RedCat161/AoM/main/Al/Al3_200.jpg")</f>
        <v/>
      </c>
      <c r="E19" s="55" t="str">
        <f>'Созвездия'!B6</f>
        <v/>
      </c>
      <c r="F19" s="55" t="s">
        <v>11</v>
      </c>
      <c r="G19" s="55" t="str">
        <f>'Созвездия'!B6</f>
        <v/>
      </c>
      <c r="H19" s="55" t="s">
        <v>11</v>
      </c>
      <c r="I19" s="55" t="str">
        <f>'Созвездия'!B3</f>
        <v/>
      </c>
      <c r="J19" s="55" t="s">
        <v>3</v>
      </c>
      <c r="K19" s="55" t="str">
        <f>'Созвездия'!B2</f>
        <v/>
      </c>
      <c r="L19" s="56" t="s">
        <v>2</v>
      </c>
      <c r="M19" s="57">
        <f t="shared" si="1"/>
        <v>2</v>
      </c>
      <c r="N19" s="61" t="s">
        <v>38</v>
      </c>
      <c r="O19" s="62"/>
      <c r="P19" s="68" t="s">
        <v>38</v>
      </c>
      <c r="Q19" s="29"/>
      <c r="R19" s="74"/>
      <c r="S19" s="71" t="s">
        <v>54</v>
      </c>
      <c r="T19" s="75"/>
      <c r="U19" s="73" t="s">
        <v>57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ht="37.5" customHeight="1">
      <c r="A20" s="40">
        <v>15.0</v>
      </c>
      <c r="B20" s="70" t="s">
        <v>52</v>
      </c>
      <c r="C20" s="53" t="s">
        <v>58</v>
      </c>
      <c r="D20" s="54" t="str">
        <f>IMAGE("https://raw.githubusercontent.com/RedCat161/AoM/main/Al/Al4_200.jpg")</f>
        <v/>
      </c>
      <c r="E20" s="55" t="str">
        <f>'Созвездия'!B8</f>
        <v/>
      </c>
      <c r="F20" s="55" t="s">
        <v>13</v>
      </c>
      <c r="G20" s="55" t="str">
        <f>'Созвездия'!B8</f>
        <v/>
      </c>
      <c r="H20" s="55" t="s">
        <v>13</v>
      </c>
      <c r="I20" s="55" t="str">
        <f>'Созвездия'!B2</f>
        <v/>
      </c>
      <c r="J20" s="55" t="s">
        <v>2</v>
      </c>
      <c r="K20" s="55" t="str">
        <f>'Созвездия'!B2</f>
        <v/>
      </c>
      <c r="L20" s="56" t="s">
        <v>2</v>
      </c>
      <c r="M20" s="57">
        <f t="shared" si="1"/>
        <v>1</v>
      </c>
      <c r="N20" s="58"/>
      <c r="O20" s="58"/>
      <c r="P20" s="62"/>
      <c r="Q20" s="29"/>
      <c r="R20" s="74"/>
      <c r="S20" s="71" t="s">
        <v>54</v>
      </c>
      <c r="T20" s="76"/>
      <c r="U20" s="73" t="s">
        <v>55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37.5" customHeight="1">
      <c r="A21" s="40">
        <v>16.0</v>
      </c>
      <c r="B21" s="70" t="s">
        <v>52</v>
      </c>
      <c r="C21" s="53" t="s">
        <v>59</v>
      </c>
      <c r="D21" s="54" t="str">
        <f>IMAGE("https://raw.githubusercontent.com/RedCat161/AoM/main/Al/Al5_200.jpg")</f>
        <v/>
      </c>
      <c r="E21" s="55" t="str">
        <f>'Созвездия'!B6</f>
        <v/>
      </c>
      <c r="F21" s="55" t="s">
        <v>11</v>
      </c>
      <c r="G21" s="55" t="str">
        <f>'Созвездия'!B9</f>
        <v/>
      </c>
      <c r="H21" s="55" t="s">
        <v>14</v>
      </c>
      <c r="I21" s="55" t="str">
        <f>'Созвездия'!B3</f>
        <v/>
      </c>
      <c r="J21" s="55" t="s">
        <v>3</v>
      </c>
      <c r="K21" s="55" t="str">
        <f>'Созвездия'!B4</f>
        <v/>
      </c>
      <c r="L21" s="56" t="s">
        <v>8</v>
      </c>
      <c r="M21" s="57">
        <f t="shared" si="1"/>
        <v>2</v>
      </c>
      <c r="N21" s="58"/>
      <c r="O21" s="58"/>
      <c r="P21" s="62"/>
      <c r="Q21" s="29"/>
      <c r="R21" s="74"/>
      <c r="S21" s="71" t="s">
        <v>54</v>
      </c>
      <c r="T21" s="76"/>
      <c r="U21" s="73" t="s">
        <v>55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37.5" customHeight="1">
      <c r="A22" s="40">
        <v>17.0</v>
      </c>
      <c r="B22" s="70" t="s">
        <v>52</v>
      </c>
      <c r="C22" s="53" t="s">
        <v>60</v>
      </c>
      <c r="D22" s="54" t="str">
        <f>IMAGE("https://raw.githubusercontent.com/RedCat161/AoM/main/Al/Al1_200.jpg")</f>
        <v/>
      </c>
      <c r="E22" s="55" t="str">
        <f>'Созвездия'!B9</f>
        <v/>
      </c>
      <c r="F22" s="55" t="s">
        <v>14</v>
      </c>
      <c r="G22" s="55" t="str">
        <f>'Созвездия'!B9</f>
        <v/>
      </c>
      <c r="H22" s="55" t="s">
        <v>14</v>
      </c>
      <c r="I22" s="55" t="str">
        <f>'Созвездия'!B6</f>
        <v/>
      </c>
      <c r="J22" s="55" t="s">
        <v>11</v>
      </c>
      <c r="K22" s="55" t="str">
        <f>'Созвездия'!B2</f>
        <v/>
      </c>
      <c r="L22" s="56" t="s">
        <v>2</v>
      </c>
      <c r="M22" s="57">
        <f t="shared" si="1"/>
        <v>1</v>
      </c>
      <c r="N22" s="58"/>
      <c r="O22" s="58"/>
      <c r="P22" s="61" t="s">
        <v>38</v>
      </c>
      <c r="Q22" s="29"/>
      <c r="R22" s="74"/>
      <c r="S22" s="71" t="s">
        <v>54</v>
      </c>
      <c r="T22" s="76"/>
      <c r="U22" s="73" t="s">
        <v>55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37.5" customHeight="1">
      <c r="A23" s="40">
        <v>18.0</v>
      </c>
      <c r="B23" s="70" t="s">
        <v>52</v>
      </c>
      <c r="C23" s="65" t="s">
        <v>61</v>
      </c>
      <c r="D23" s="54" t="str">
        <f>IMAGE("https://raw.githubusercontent.com/RedCat161/AoM/main/Al/Al6_200.jpg")</f>
        <v/>
      </c>
      <c r="E23" s="55" t="str">
        <f>'Созвездия'!B6</f>
        <v/>
      </c>
      <c r="F23" s="77" t="s">
        <v>11</v>
      </c>
      <c r="G23" s="55" t="str">
        <f>'Созвездия'!B6</f>
        <v/>
      </c>
      <c r="H23" s="77" t="s">
        <v>11</v>
      </c>
      <c r="I23" s="55" t="str">
        <f>'Созвездия'!B6</f>
        <v/>
      </c>
      <c r="J23" s="77" t="s">
        <v>11</v>
      </c>
      <c r="K23" s="55" t="str">
        <f>'Созвездия'!B7</f>
        <v/>
      </c>
      <c r="L23" s="78" t="s">
        <v>12</v>
      </c>
      <c r="M23" s="57">
        <f t="shared" si="1"/>
        <v>1</v>
      </c>
      <c r="N23" s="58"/>
      <c r="O23" s="29"/>
      <c r="P23" s="62"/>
      <c r="Q23" s="29"/>
      <c r="R23" s="74"/>
      <c r="S23" s="71" t="s">
        <v>54</v>
      </c>
      <c r="T23" s="76"/>
      <c r="U23" s="79" t="s">
        <v>62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37.5" customHeight="1">
      <c r="A24" s="40">
        <v>19.0</v>
      </c>
      <c r="B24" s="70" t="s">
        <v>52</v>
      </c>
      <c r="C24" s="65" t="s">
        <v>63</v>
      </c>
      <c r="D24" s="54" t="str">
        <f>IMAGE("https://raw.githubusercontent.com/RedCat161/AoM/main/Al/Al7_200.jpg")</f>
        <v/>
      </c>
      <c r="E24" s="55" t="str">
        <f>'Созвездия'!B9</f>
        <v/>
      </c>
      <c r="F24" s="77" t="s">
        <v>14</v>
      </c>
      <c r="G24" s="55" t="str">
        <f>'Созвездия'!B9</f>
        <v/>
      </c>
      <c r="H24" s="77" t="s">
        <v>14</v>
      </c>
      <c r="I24" s="55" t="str">
        <f>'Созвездия'!B9</f>
        <v/>
      </c>
      <c r="J24" s="77" t="s">
        <v>14</v>
      </c>
      <c r="K24" s="55" t="str">
        <f>'Созвездия'!B3</f>
        <v/>
      </c>
      <c r="L24" s="78" t="s">
        <v>3</v>
      </c>
      <c r="M24" s="57">
        <f t="shared" si="1"/>
        <v>1</v>
      </c>
      <c r="N24" s="61" t="s">
        <v>38</v>
      </c>
      <c r="O24" s="61" t="s">
        <v>38</v>
      </c>
      <c r="P24" s="62"/>
      <c r="Q24" s="29"/>
      <c r="R24" s="74"/>
      <c r="S24" s="71" t="s">
        <v>54</v>
      </c>
      <c r="T24" s="76"/>
      <c r="U24" s="73" t="s">
        <v>55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37.5" customHeight="1">
      <c r="A25" s="40">
        <v>20.0</v>
      </c>
      <c r="B25" s="80" t="s">
        <v>64</v>
      </c>
      <c r="C25" s="53" t="s">
        <v>65</v>
      </c>
      <c r="D25" s="54" t="str">
        <f>IMAGE("https://raw.githubusercontent.com/RedCat161/AoM/main/fiends/fiends4_200.jpg")</f>
        <v/>
      </c>
      <c r="E25" s="55" t="str">
        <f>'Созвездия'!B2</f>
        <v/>
      </c>
      <c r="F25" s="55" t="s">
        <v>2</v>
      </c>
      <c r="G25" s="55" t="str">
        <f>'Созвездия'!B11</f>
        <v/>
      </c>
      <c r="H25" s="55" t="s">
        <v>16</v>
      </c>
      <c r="I25" s="55" t="str">
        <f>'Созвездия'!B6</f>
        <v/>
      </c>
      <c r="J25" s="55" t="s">
        <v>11</v>
      </c>
      <c r="K25" s="55" t="str">
        <f>'Созвездия'!B8</f>
        <v/>
      </c>
      <c r="L25" s="56" t="s">
        <v>13</v>
      </c>
      <c r="M25" s="57">
        <f t="shared" si="1"/>
        <v>2</v>
      </c>
      <c r="N25" s="58"/>
      <c r="O25" s="29"/>
      <c r="P25" s="62"/>
      <c r="Q25" s="29"/>
      <c r="R25" s="74"/>
      <c r="S25" s="59"/>
      <c r="T25" s="81"/>
      <c r="U25" s="59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37.5" customHeight="1">
      <c r="A26" s="40">
        <v>21.0</v>
      </c>
      <c r="B26" s="80" t="s">
        <v>64</v>
      </c>
      <c r="C26" s="53" t="s">
        <v>66</v>
      </c>
      <c r="D26" s="54" t="str">
        <f>IMAGE("https://raw.githubusercontent.com/RedCat161/AoM/main/fiends/fiends5_200.jpg")</f>
        <v/>
      </c>
      <c r="E26" s="55" t="str">
        <f>'Созвездия'!B3</f>
        <v/>
      </c>
      <c r="F26" s="55" t="s">
        <v>3</v>
      </c>
      <c r="G26" s="55" t="str">
        <f>'Созвездия'!B8</f>
        <v/>
      </c>
      <c r="H26" s="55" t="s">
        <v>13</v>
      </c>
      <c r="I26" s="55" t="str">
        <f>'Созвездия'!B2</f>
        <v/>
      </c>
      <c r="J26" s="55" t="s">
        <v>2</v>
      </c>
      <c r="K26" s="55" t="str">
        <f>'Созвездия'!B2</f>
        <v/>
      </c>
      <c r="L26" s="56" t="s">
        <v>2</v>
      </c>
      <c r="M26" s="57">
        <f t="shared" si="1"/>
        <v>2</v>
      </c>
      <c r="N26" s="58"/>
      <c r="O26" s="29"/>
      <c r="P26" s="68" t="s">
        <v>38</v>
      </c>
      <c r="Q26" s="29"/>
      <c r="R26" s="74"/>
      <c r="S26" s="59"/>
      <c r="T26" s="81"/>
      <c r="U26" s="59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37.5" customHeight="1">
      <c r="A27" s="40">
        <v>22.0</v>
      </c>
      <c r="B27" s="80" t="s">
        <v>64</v>
      </c>
      <c r="C27" s="53" t="s">
        <v>67</v>
      </c>
      <c r="D27" s="54" t="str">
        <f>IMAGE("https://raw.githubusercontent.com/RedCat161/AoM/main/fiends/fiends6_200.jpg")</f>
        <v/>
      </c>
      <c r="E27" s="55" t="str">
        <f>'Созвездия'!B7</f>
        <v/>
      </c>
      <c r="F27" s="55" t="s">
        <v>12</v>
      </c>
      <c r="G27" s="55" t="str">
        <f>'Созвездия'!B7</f>
        <v/>
      </c>
      <c r="H27" s="55" t="s">
        <v>12</v>
      </c>
      <c r="I27" s="55" t="str">
        <f>'Созвездия'!B12</f>
        <v/>
      </c>
      <c r="J27" s="55" t="s">
        <v>17</v>
      </c>
      <c r="K27" s="55" t="str">
        <f>'Созвездия'!B5</f>
        <v/>
      </c>
      <c r="L27" s="56" t="s">
        <v>10</v>
      </c>
      <c r="M27" s="57">
        <f t="shared" si="1"/>
        <v>0</v>
      </c>
      <c r="N27" s="58"/>
      <c r="O27" s="29"/>
      <c r="P27" s="62"/>
      <c r="Q27" s="29"/>
      <c r="R27" s="29"/>
      <c r="S27" s="59"/>
      <c r="T27" s="82"/>
      <c r="U27" s="5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37.5" customHeight="1">
      <c r="A28" s="40">
        <v>23.0</v>
      </c>
      <c r="B28" s="80" t="s">
        <v>64</v>
      </c>
      <c r="C28" s="53" t="s">
        <v>68</v>
      </c>
      <c r="D28" s="54" t="str">
        <f>IMAGE("https://raw.githubusercontent.com/RedCat161/AoM/main/fiends/fiends1_200.jpg")</f>
        <v/>
      </c>
      <c r="E28" s="55" t="str">
        <f>'Созвездия'!B3</f>
        <v/>
      </c>
      <c r="F28" s="55" t="s">
        <v>3</v>
      </c>
      <c r="G28" s="55" t="str">
        <f>'Созвездия'!B3</f>
        <v/>
      </c>
      <c r="H28" s="55" t="s">
        <v>3</v>
      </c>
      <c r="I28" s="55" t="str">
        <f>'Созвездия'!B3</f>
        <v/>
      </c>
      <c r="J28" s="55" t="s">
        <v>3</v>
      </c>
      <c r="K28" s="55" t="str">
        <f>'Созвездия'!B3</f>
        <v/>
      </c>
      <c r="L28" s="56" t="s">
        <v>3</v>
      </c>
      <c r="M28" s="57">
        <f t="shared" si="1"/>
        <v>1</v>
      </c>
      <c r="N28" s="61" t="s">
        <v>38</v>
      </c>
      <c r="O28" s="68" t="s">
        <v>38</v>
      </c>
      <c r="P28" s="83" t="s">
        <v>69</v>
      </c>
      <c r="Q28" s="29"/>
      <c r="R28" s="29"/>
      <c r="S28" s="59"/>
      <c r="T28" s="60"/>
      <c r="U28" s="59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37.5" customHeight="1">
      <c r="A29" s="40">
        <v>24.0</v>
      </c>
      <c r="B29" s="80" t="s">
        <v>64</v>
      </c>
      <c r="C29" s="53" t="s">
        <v>70</v>
      </c>
      <c r="D29" s="54" t="str">
        <f>IMAGE("https://raw.githubusercontent.com/RedCat161/AoM/main/fiends/fiends7_200.jpg")</f>
        <v/>
      </c>
      <c r="E29" s="55" t="str">
        <f>'Созвездия'!B2</f>
        <v/>
      </c>
      <c r="F29" s="55" t="s">
        <v>2</v>
      </c>
      <c r="G29" s="55" t="str">
        <f>'Созвездия'!B13</f>
        <v/>
      </c>
      <c r="H29" s="55" t="s">
        <v>18</v>
      </c>
      <c r="I29" s="55" t="str">
        <f>'Созвездия'!B11</f>
        <v/>
      </c>
      <c r="J29" s="55" t="s">
        <v>16</v>
      </c>
      <c r="K29" s="55" t="str">
        <f>'Созвездия'!B8</f>
        <v/>
      </c>
      <c r="L29" s="56" t="s">
        <v>13</v>
      </c>
      <c r="M29" s="57">
        <f t="shared" si="1"/>
        <v>2</v>
      </c>
      <c r="N29" s="58"/>
      <c r="O29" s="61"/>
      <c r="P29" s="29"/>
      <c r="Q29" s="62"/>
      <c r="R29" s="29"/>
      <c r="S29" s="59"/>
      <c r="T29" s="60"/>
      <c r="U29" s="59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37.5" customHeight="1">
      <c r="A30" s="40">
        <v>25.0</v>
      </c>
      <c r="B30" s="80" t="s">
        <v>64</v>
      </c>
      <c r="C30" s="53" t="s">
        <v>71</v>
      </c>
      <c r="D30" s="54" t="str">
        <f>IMAGE("https://raw.githubusercontent.com/RedCat161/AoM/main/fiends/fiends3_200.jpg")</f>
        <v/>
      </c>
      <c r="E30" s="55" t="str">
        <f>'Созвездия'!B9</f>
        <v/>
      </c>
      <c r="F30" s="55" t="s">
        <v>14</v>
      </c>
      <c r="G30" s="55" t="str">
        <f>'Созвездия'!B11</f>
        <v/>
      </c>
      <c r="H30" s="55" t="s">
        <v>16</v>
      </c>
      <c r="I30" s="55" t="str">
        <f>'Созвездия'!B2</f>
        <v/>
      </c>
      <c r="J30" s="55" t="s">
        <v>2</v>
      </c>
      <c r="K30" s="55" t="str">
        <f>'Созвездия'!B3</f>
        <v/>
      </c>
      <c r="L30" s="56" t="s">
        <v>3</v>
      </c>
      <c r="M30" s="57">
        <f t="shared" si="1"/>
        <v>1</v>
      </c>
      <c r="N30" s="58"/>
      <c r="O30" s="29"/>
      <c r="P30" s="68" t="s">
        <v>38</v>
      </c>
      <c r="Q30" s="29"/>
      <c r="R30" s="29"/>
      <c r="S30" s="59"/>
      <c r="T30" s="60"/>
      <c r="U30" s="59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37.5" customHeight="1">
      <c r="A31" s="40">
        <v>26.0</v>
      </c>
      <c r="B31" s="80" t="s">
        <v>64</v>
      </c>
      <c r="C31" s="53" t="s">
        <v>72</v>
      </c>
      <c r="D31" s="54" t="str">
        <f>IMAGE("https://raw.githubusercontent.com/RedCat161/AoM/main/fiends/fiends2_200.jpg")</f>
        <v/>
      </c>
      <c r="E31" s="55" t="str">
        <f>'Созвездия'!B2</f>
        <v/>
      </c>
      <c r="F31" s="55" t="s">
        <v>2</v>
      </c>
      <c r="G31" s="55" t="str">
        <f>'Созвездия'!B2</f>
        <v/>
      </c>
      <c r="H31" s="55" t="s">
        <v>2</v>
      </c>
      <c r="I31" s="55" t="str">
        <f>'Созвездия'!B6</f>
        <v/>
      </c>
      <c r="J31" s="55" t="s">
        <v>11</v>
      </c>
      <c r="K31" s="55" t="str">
        <f>'Созвездия'!B8</f>
        <v/>
      </c>
      <c r="L31" s="56" t="s">
        <v>13</v>
      </c>
      <c r="M31" s="57">
        <f t="shared" si="1"/>
        <v>2</v>
      </c>
      <c r="N31" s="58"/>
      <c r="O31" s="62"/>
      <c r="P31" s="61" t="s">
        <v>38</v>
      </c>
      <c r="Q31" s="29"/>
      <c r="R31" s="59"/>
      <c r="S31" s="59"/>
      <c r="T31" s="60"/>
      <c r="U31" s="59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37.5" customHeight="1">
      <c r="A32" s="40">
        <v>27.0</v>
      </c>
      <c r="B32" s="84" t="s">
        <v>73</v>
      </c>
      <c r="C32" s="53" t="s">
        <v>74</v>
      </c>
      <c r="D32" s="54" t="str">
        <f>IMAGE("https://raw.githubusercontent.com/RedCat161/AoM/main/guards/guardian4_200.jpg")</f>
        <v/>
      </c>
      <c r="E32" s="55" t="str">
        <f>'Созвездия'!B2</f>
        <v/>
      </c>
      <c r="F32" s="55" t="s">
        <v>2</v>
      </c>
      <c r="G32" s="55" t="str">
        <f>'Созвездия'!B6</f>
        <v/>
      </c>
      <c r="H32" s="55" t="s">
        <v>11</v>
      </c>
      <c r="I32" s="55" t="str">
        <f>'Созвездия'!B8</f>
        <v/>
      </c>
      <c r="J32" s="55" t="s">
        <v>13</v>
      </c>
      <c r="K32" s="55" t="str">
        <f>'Созвездия'!B3</f>
        <v/>
      </c>
      <c r="L32" s="56" t="s">
        <v>3</v>
      </c>
      <c r="M32" s="57">
        <f t="shared" si="1"/>
        <v>3</v>
      </c>
      <c r="N32" s="58"/>
      <c r="O32" s="62"/>
      <c r="P32" s="58"/>
      <c r="Q32" s="29"/>
      <c r="R32" s="29"/>
      <c r="S32" s="59"/>
      <c r="T32" s="60"/>
      <c r="U32" s="79" t="s">
        <v>75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37.5" customHeight="1">
      <c r="A33" s="40">
        <v>28.0</v>
      </c>
      <c r="B33" s="84" t="s">
        <v>73</v>
      </c>
      <c r="C33" s="53" t="s">
        <v>76</v>
      </c>
      <c r="D33" s="54" t="str">
        <f>IMAGE("https://raw.githubusercontent.com/RedCat161/AoM/main/guards/guardian5_200.jpg")</f>
        <v/>
      </c>
      <c r="E33" s="55" t="str">
        <f>'Созвездия'!B9</f>
        <v/>
      </c>
      <c r="F33" s="55" t="s">
        <v>14</v>
      </c>
      <c r="G33" s="55" t="str">
        <f>'Созвездия'!B10</f>
        <v/>
      </c>
      <c r="H33" s="55" t="s">
        <v>15</v>
      </c>
      <c r="I33" s="55" t="str">
        <f>'Созвездия'!B10</f>
        <v/>
      </c>
      <c r="J33" s="55" t="s">
        <v>15</v>
      </c>
      <c r="K33" s="55" t="str">
        <f>'Созвездия'!B5</f>
        <v/>
      </c>
      <c r="L33" s="56" t="s">
        <v>10</v>
      </c>
      <c r="M33" s="57">
        <f t="shared" si="1"/>
        <v>0</v>
      </c>
      <c r="N33" s="61" t="s">
        <v>38</v>
      </c>
      <c r="O33" s="68" t="s">
        <v>38</v>
      </c>
      <c r="P33" s="61" t="s">
        <v>38</v>
      </c>
      <c r="Q33" s="29"/>
      <c r="R33" s="69" t="s">
        <v>50</v>
      </c>
      <c r="S33" s="59"/>
      <c r="T33" s="60"/>
      <c r="U33" s="79" t="s">
        <v>75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37.5" customHeight="1">
      <c r="A34" s="40">
        <v>29.0</v>
      </c>
      <c r="B34" s="84" t="s">
        <v>73</v>
      </c>
      <c r="C34" s="53" t="s">
        <v>77</v>
      </c>
      <c r="D34" s="54" t="str">
        <f>IMAGE("https://raw.githubusercontent.com/RedCat161/AoM/main/guards/guardian7_200.jpg")</f>
        <v/>
      </c>
      <c r="E34" s="55" t="str">
        <f>'Созвездия'!B6</f>
        <v/>
      </c>
      <c r="F34" s="55" t="s">
        <v>11</v>
      </c>
      <c r="G34" s="55" t="str">
        <f>'Созвездия'!B6</f>
        <v/>
      </c>
      <c r="H34" s="55" t="s">
        <v>11</v>
      </c>
      <c r="I34" s="55" t="str">
        <f>'Созвездия'!B9</f>
        <v/>
      </c>
      <c r="J34" s="55" t="s">
        <v>14</v>
      </c>
      <c r="K34" s="55" t="str">
        <f>'Созвездия'!B5</f>
        <v/>
      </c>
      <c r="L34" s="56" t="s">
        <v>10</v>
      </c>
      <c r="M34" s="57">
        <f t="shared" si="1"/>
        <v>1</v>
      </c>
      <c r="N34" s="58"/>
      <c r="O34" s="61"/>
      <c r="P34" s="61"/>
      <c r="Q34" s="29"/>
      <c r="R34" s="29"/>
      <c r="S34" s="59"/>
      <c r="T34" s="60"/>
      <c r="U34" s="79" t="s">
        <v>75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37.5" customHeight="1">
      <c r="A35" s="40">
        <v>30.0</v>
      </c>
      <c r="B35" s="84" t="s">
        <v>73</v>
      </c>
      <c r="C35" s="53" t="s">
        <v>78</v>
      </c>
      <c r="D35" s="54" t="str">
        <f>IMAGE("https://raw.githubusercontent.com/RedCat161/AoM/main/guards/guardian3_200.jpg")</f>
        <v/>
      </c>
      <c r="E35" s="55" t="str">
        <f>'Созвездия'!B8</f>
        <v/>
      </c>
      <c r="F35" s="55" t="s">
        <v>13</v>
      </c>
      <c r="G35" s="55" t="str">
        <f>'Созвездия'!B6</f>
        <v/>
      </c>
      <c r="H35" s="55" t="s">
        <v>11</v>
      </c>
      <c r="I35" s="55" t="str">
        <f>'Созвездия'!B11</f>
        <v/>
      </c>
      <c r="J35" s="55" t="s">
        <v>16</v>
      </c>
      <c r="K35" s="55" t="str">
        <f>'Созвездия'!B8</f>
        <v/>
      </c>
      <c r="L35" s="56" t="s">
        <v>13</v>
      </c>
      <c r="M35" s="57">
        <f t="shared" si="1"/>
        <v>2</v>
      </c>
      <c r="N35" s="58"/>
      <c r="O35" s="29"/>
      <c r="P35" s="62"/>
      <c r="Q35" s="29"/>
      <c r="R35" s="29"/>
      <c r="S35" s="59"/>
      <c r="T35" s="60"/>
      <c r="U35" s="79" t="s">
        <v>75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37.5" customHeight="1">
      <c r="A36" s="40">
        <v>31.0</v>
      </c>
      <c r="B36" s="84" t="s">
        <v>73</v>
      </c>
      <c r="C36" s="53" t="s">
        <v>79</v>
      </c>
      <c r="D36" s="54" t="str">
        <f>IMAGE("https://raw.githubusercontent.com/RedCat161/AoM/main/guards/guardian01_200.jpg")</f>
        <v/>
      </c>
      <c r="E36" s="55" t="str">
        <f>'Созвездия'!B2</f>
        <v/>
      </c>
      <c r="F36" s="55" t="s">
        <v>2</v>
      </c>
      <c r="G36" s="55" t="str">
        <f>'Созвездия'!B6</f>
        <v/>
      </c>
      <c r="H36" s="55" t="s">
        <v>11</v>
      </c>
      <c r="I36" s="55" t="str">
        <f>'Созвездия'!B8</f>
        <v/>
      </c>
      <c r="J36" s="55" t="s">
        <v>13</v>
      </c>
      <c r="K36" s="55" t="str">
        <f>'Созвездия'!B9</f>
        <v/>
      </c>
      <c r="L36" s="56" t="s">
        <v>14</v>
      </c>
      <c r="M36" s="57">
        <f t="shared" si="1"/>
        <v>2</v>
      </c>
      <c r="N36" s="58"/>
      <c r="O36" s="61"/>
      <c r="P36" s="62"/>
      <c r="Q36" s="29"/>
      <c r="R36" s="29"/>
      <c r="S36" s="59"/>
      <c r="T36" s="60"/>
      <c r="U36" s="59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37.5" customHeight="1">
      <c r="A37" s="40">
        <v>32.0</v>
      </c>
      <c r="B37" s="84" t="s">
        <v>73</v>
      </c>
      <c r="C37" s="53" t="s">
        <v>80</v>
      </c>
      <c r="D37" s="54" t="str">
        <f>IMAGE("https://raw.githubusercontent.com/RedCat161/AoM/main/guards/guardian2_200.jpg")</f>
        <v/>
      </c>
      <c r="E37" s="55" t="str">
        <f>'Созвездия'!B9</f>
        <v/>
      </c>
      <c r="F37" s="55" t="s">
        <v>14</v>
      </c>
      <c r="G37" s="55" t="str">
        <f>'Созвездия'!B9</f>
        <v/>
      </c>
      <c r="H37" s="55" t="s">
        <v>14</v>
      </c>
      <c r="I37" s="55" t="str">
        <f>'Созвездия'!B9</f>
        <v/>
      </c>
      <c r="J37" s="55" t="s">
        <v>14</v>
      </c>
      <c r="K37" s="55" t="str">
        <f>'Созвездия'!B5</f>
        <v/>
      </c>
      <c r="L37" s="56" t="s">
        <v>10</v>
      </c>
      <c r="M37" s="57">
        <f t="shared" si="1"/>
        <v>0</v>
      </c>
      <c r="N37" s="61"/>
      <c r="O37" s="61" t="s">
        <v>38</v>
      </c>
      <c r="P37" s="58"/>
      <c r="Q37" s="29"/>
      <c r="R37" s="29"/>
      <c r="S37" s="59"/>
      <c r="T37" s="60"/>
      <c r="U37" s="79" t="s">
        <v>75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37.5" customHeight="1">
      <c r="A38" s="40">
        <v>33.0</v>
      </c>
      <c r="B38" s="84" t="s">
        <v>73</v>
      </c>
      <c r="C38" s="53" t="s">
        <v>81</v>
      </c>
      <c r="D38" s="54" t="str">
        <f>IMAGE("https://raw.githubusercontent.com/RedCat161/AoM/main/guards/guardian6_200.jpg")</f>
        <v/>
      </c>
      <c r="E38" s="55" t="str">
        <f>'Созвездия'!B8</f>
        <v/>
      </c>
      <c r="F38" s="55" t="s">
        <v>13</v>
      </c>
      <c r="G38" s="55" t="str">
        <f>'Созвездия'!B8</f>
        <v/>
      </c>
      <c r="H38" s="55" t="s">
        <v>13</v>
      </c>
      <c r="I38" s="55" t="str">
        <f>'Созвездия'!B6</f>
        <v/>
      </c>
      <c r="J38" s="55" t="s">
        <v>11</v>
      </c>
      <c r="K38" s="55" t="str">
        <f>'Созвездия'!B2</f>
        <v/>
      </c>
      <c r="L38" s="56" t="s">
        <v>2</v>
      </c>
      <c r="M38" s="57">
        <f t="shared" si="1"/>
        <v>2</v>
      </c>
      <c r="N38" s="58"/>
      <c r="O38" s="58"/>
      <c r="P38" s="61"/>
      <c r="Q38" s="29"/>
      <c r="R38" s="29"/>
      <c r="S38" s="59"/>
      <c r="T38" s="60"/>
      <c r="U38" s="79" t="s">
        <v>75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37.5" customHeight="1">
      <c r="A39" s="40">
        <v>34.0</v>
      </c>
      <c r="B39" s="85" t="s">
        <v>82</v>
      </c>
      <c r="C39" s="53" t="s">
        <v>83</v>
      </c>
      <c r="D39" s="54" t="str">
        <f>IMAGE("https://raw.githubusercontent.com/RedCat161/AoM/main/Van/Van4_200.jpg")</f>
        <v/>
      </c>
      <c r="E39" s="55" t="str">
        <f>'Созвездия'!B8</f>
        <v/>
      </c>
      <c r="F39" s="55" t="s">
        <v>13</v>
      </c>
      <c r="G39" s="55" t="str">
        <f>'Созвездия'!B3</f>
        <v/>
      </c>
      <c r="H39" s="55" t="s">
        <v>3</v>
      </c>
      <c r="I39" s="55" t="str">
        <f>'Созвездия'!B6</f>
        <v/>
      </c>
      <c r="J39" s="55" t="s">
        <v>11</v>
      </c>
      <c r="K39" s="55" t="str">
        <f>'Созвездия'!B2</f>
        <v/>
      </c>
      <c r="L39" s="56" t="s">
        <v>2</v>
      </c>
      <c r="M39" s="57">
        <f t="shared" si="1"/>
        <v>3</v>
      </c>
      <c r="N39" s="58"/>
      <c r="O39" s="29"/>
      <c r="P39" s="62"/>
      <c r="Q39" s="29"/>
      <c r="R39" s="29"/>
      <c r="S39" s="59"/>
      <c r="T39" s="60"/>
      <c r="U39" s="59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37.5" customHeight="1">
      <c r="A40" s="40">
        <v>35.0</v>
      </c>
      <c r="B40" s="85" t="s">
        <v>82</v>
      </c>
      <c r="C40" s="53" t="s">
        <v>84</v>
      </c>
      <c r="D40" s="54" t="str">
        <f>IMAGE("https://raw.githubusercontent.com/RedCat161/AoM/main/Van/Van2_200.jpg")</f>
        <v/>
      </c>
      <c r="E40" s="55" t="str">
        <f>'Созвездия'!B9</f>
        <v/>
      </c>
      <c r="F40" s="55" t="s">
        <v>14</v>
      </c>
      <c r="G40" s="55" t="str">
        <f>'Созвездия'!B9</f>
        <v/>
      </c>
      <c r="H40" s="55" t="s">
        <v>14</v>
      </c>
      <c r="I40" s="55" t="str">
        <f>'Созвездия'!B11</f>
        <v/>
      </c>
      <c r="J40" s="55" t="s">
        <v>16</v>
      </c>
      <c r="K40" s="55" t="str">
        <f>'Созвездия'!B8</f>
        <v/>
      </c>
      <c r="L40" s="56" t="s">
        <v>13</v>
      </c>
      <c r="M40" s="57">
        <f t="shared" si="1"/>
        <v>1</v>
      </c>
      <c r="N40" s="58"/>
      <c r="O40" s="61" t="s">
        <v>38</v>
      </c>
      <c r="P40" s="58"/>
      <c r="Q40" s="29"/>
      <c r="R40" s="29"/>
      <c r="S40" s="59"/>
      <c r="T40" s="60"/>
      <c r="U40" s="59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37.5" customHeight="1">
      <c r="A41" s="40">
        <v>36.0</v>
      </c>
      <c r="B41" s="85" t="s">
        <v>82</v>
      </c>
      <c r="C41" s="53" t="s">
        <v>85</v>
      </c>
      <c r="D41" s="54" t="str">
        <f>IMAGE("https://raw.githubusercontent.com/RedCat161/AoM/main/Van/Van7_200.jpg")</f>
        <v/>
      </c>
      <c r="E41" s="55" t="str">
        <f>'Созвездия'!B3</f>
        <v/>
      </c>
      <c r="F41" s="55" t="s">
        <v>3</v>
      </c>
      <c r="G41" s="55" t="str">
        <f>'Созвездия'!B11</f>
        <v/>
      </c>
      <c r="H41" s="55" t="s">
        <v>16</v>
      </c>
      <c r="I41" s="55" t="str">
        <f>'Созвездия'!B11</f>
        <v/>
      </c>
      <c r="J41" s="55" t="s">
        <v>16</v>
      </c>
      <c r="K41" s="55" t="str">
        <f>'Созвездия'!B10</f>
        <v/>
      </c>
      <c r="L41" s="56" t="s">
        <v>15</v>
      </c>
      <c r="M41" s="57">
        <f t="shared" si="1"/>
        <v>1</v>
      </c>
      <c r="N41" s="58"/>
      <c r="O41" s="29"/>
      <c r="P41" s="29"/>
      <c r="Q41" s="68" t="s">
        <v>38</v>
      </c>
      <c r="R41" s="69" t="s">
        <v>50</v>
      </c>
      <c r="S41" s="59"/>
      <c r="T41" s="60"/>
      <c r="U41" s="59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37.5" customHeight="1">
      <c r="A42" s="40">
        <v>37.0</v>
      </c>
      <c r="B42" s="85" t="s">
        <v>82</v>
      </c>
      <c r="C42" s="53" t="s">
        <v>86</v>
      </c>
      <c r="D42" s="54" t="str">
        <f>IMAGE("https://raw.githubusercontent.com/RedCat161/AoM/main/Van/Van3_200.jpg")</f>
        <v/>
      </c>
      <c r="E42" s="55" t="str">
        <f>'Созвездия'!B3</f>
        <v/>
      </c>
      <c r="F42" s="55" t="s">
        <v>3</v>
      </c>
      <c r="G42" s="55" t="str">
        <f>'Созвездия'!B3</f>
        <v/>
      </c>
      <c r="H42" s="55" t="s">
        <v>3</v>
      </c>
      <c r="I42" s="55" t="str">
        <f>'Созвездия'!B3</f>
        <v/>
      </c>
      <c r="J42" s="55" t="s">
        <v>3</v>
      </c>
      <c r="K42" s="55" t="str">
        <f>'Созвездия'!B3</f>
        <v/>
      </c>
      <c r="L42" s="56" t="s">
        <v>3</v>
      </c>
      <c r="M42" s="57">
        <f t="shared" si="1"/>
        <v>1</v>
      </c>
      <c r="N42" s="62"/>
      <c r="O42" s="62"/>
      <c r="P42" s="29"/>
      <c r="Q42" s="29"/>
      <c r="R42" s="29"/>
      <c r="S42" s="59"/>
      <c r="T42" s="60"/>
      <c r="U42" s="59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37.5" customHeight="1">
      <c r="A43" s="40">
        <v>38.0</v>
      </c>
      <c r="B43" s="85" t="s">
        <v>82</v>
      </c>
      <c r="C43" s="53" t="s">
        <v>87</v>
      </c>
      <c r="D43" s="54" t="str">
        <f>IMAGE("https://raw.githubusercontent.com/RedCat161/AoM/main/Van/Van5_200.jpg")</f>
        <v/>
      </c>
      <c r="E43" s="55" t="str">
        <f>'Созвездия'!B5</f>
        <v/>
      </c>
      <c r="F43" s="55" t="s">
        <v>10</v>
      </c>
      <c r="G43" s="55" t="str">
        <f>'Созвездия'!B3</f>
        <v/>
      </c>
      <c r="H43" s="55" t="s">
        <v>3</v>
      </c>
      <c r="I43" s="55" t="str">
        <f>'Созвездия'!B5</f>
        <v/>
      </c>
      <c r="J43" s="55" t="s">
        <v>10</v>
      </c>
      <c r="K43" s="55" t="str">
        <f>'Созвездия'!B3</f>
        <v/>
      </c>
      <c r="L43" s="56" t="s">
        <v>3</v>
      </c>
      <c r="M43" s="57">
        <f t="shared" si="1"/>
        <v>1</v>
      </c>
      <c r="N43" s="58"/>
      <c r="O43" s="29"/>
      <c r="P43" s="62"/>
      <c r="Q43" s="29"/>
      <c r="R43" s="29"/>
      <c r="S43" s="59"/>
      <c r="T43" s="60"/>
      <c r="U43" s="5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ht="37.5" customHeight="1">
      <c r="A44" s="40">
        <v>39.0</v>
      </c>
      <c r="B44" s="85" t="s">
        <v>82</v>
      </c>
      <c r="C44" s="53" t="s">
        <v>88</v>
      </c>
      <c r="D44" s="54" t="str">
        <f>IMAGE("https://raw.githubusercontent.com/RedCat161/AoM/main/Van/Van1_200.jpg")</f>
        <v/>
      </c>
      <c r="E44" s="55" t="str">
        <f>'Созвездия'!B3</f>
        <v/>
      </c>
      <c r="F44" s="55" t="s">
        <v>3</v>
      </c>
      <c r="G44" s="55" t="str">
        <f>'Созвездия'!B3</f>
        <v/>
      </c>
      <c r="H44" s="55" t="s">
        <v>3</v>
      </c>
      <c r="I44" s="55" t="str">
        <f>'Созвездия'!B3</f>
        <v/>
      </c>
      <c r="J44" s="55" t="s">
        <v>3</v>
      </c>
      <c r="K44" s="55" t="str">
        <f>'Созвездия'!B3</f>
        <v/>
      </c>
      <c r="L44" s="56" t="s">
        <v>3</v>
      </c>
      <c r="M44" s="57">
        <f t="shared" si="1"/>
        <v>1</v>
      </c>
      <c r="N44" s="58"/>
      <c r="O44" s="62"/>
      <c r="P44" s="62"/>
      <c r="Q44" s="29"/>
      <c r="R44" s="29"/>
      <c r="S44" s="59"/>
      <c r="T44" s="60"/>
      <c r="U44" s="59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37.5" customHeight="1">
      <c r="A45" s="40">
        <v>40.0</v>
      </c>
      <c r="B45" s="85" t="s">
        <v>82</v>
      </c>
      <c r="C45" s="53" t="s">
        <v>89</v>
      </c>
      <c r="D45" s="54" t="str">
        <f>IMAGE("https://raw.githubusercontent.com/RedCat161/AoM/main/Van/Van6_200.jpg")</f>
        <v/>
      </c>
      <c r="E45" s="55" t="str">
        <f>'Созвездия'!B9</f>
        <v/>
      </c>
      <c r="F45" s="55" t="s">
        <v>14</v>
      </c>
      <c r="G45" s="55" t="str">
        <f>'Созвездия'!B9</f>
        <v/>
      </c>
      <c r="H45" s="55" t="s">
        <v>14</v>
      </c>
      <c r="I45" s="55" t="str">
        <f>'Созвездия'!B11</f>
        <v/>
      </c>
      <c r="J45" s="55" t="s">
        <v>16</v>
      </c>
      <c r="K45" s="55" t="str">
        <f>'Созвездия'!B6</f>
        <v/>
      </c>
      <c r="L45" s="56" t="s">
        <v>11</v>
      </c>
      <c r="M45" s="57">
        <f t="shared" si="1"/>
        <v>1</v>
      </c>
      <c r="N45" s="58"/>
      <c r="O45" s="61" t="s">
        <v>38</v>
      </c>
      <c r="P45" s="68" t="s">
        <v>38</v>
      </c>
      <c r="Q45" s="29"/>
      <c r="R45" s="29"/>
      <c r="S45" s="59"/>
      <c r="T45" s="60"/>
      <c r="U45" s="59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37.5" customHeight="1">
      <c r="A46" s="40">
        <v>41.0</v>
      </c>
      <c r="B46" s="86" t="s">
        <v>90</v>
      </c>
      <c r="C46" s="53" t="s">
        <v>91</v>
      </c>
      <c r="D46" s="54" t="str">
        <f>IMAGE("https://raw.githubusercontent.com/RedCat161/AoM/main/Os/Os5_200.jpg")</f>
        <v/>
      </c>
      <c r="E46" s="55" t="str">
        <f>'Созвездия'!B6</f>
        <v/>
      </c>
      <c r="F46" s="55" t="s">
        <v>11</v>
      </c>
      <c r="G46" s="55" t="str">
        <f>'Созвездия'!B6</f>
        <v/>
      </c>
      <c r="H46" s="55" t="s">
        <v>11</v>
      </c>
      <c r="I46" s="55" t="str">
        <f>'Созвездия'!B11</f>
        <v/>
      </c>
      <c r="J46" s="55" t="s">
        <v>16</v>
      </c>
      <c r="K46" s="55" t="str">
        <f>'Созвездия'!B3</f>
        <v/>
      </c>
      <c r="L46" s="56" t="s">
        <v>3</v>
      </c>
      <c r="M46" s="57">
        <f t="shared" si="1"/>
        <v>2</v>
      </c>
      <c r="N46" s="61" t="s">
        <v>38</v>
      </c>
      <c r="O46" s="29"/>
      <c r="P46" s="62"/>
      <c r="Q46" s="29"/>
      <c r="R46" s="29"/>
      <c r="S46" s="59"/>
      <c r="T46" s="60"/>
      <c r="U46" s="59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37.5" customHeight="1">
      <c r="A47" s="40">
        <v>42.0</v>
      </c>
      <c r="B47" s="86" t="s">
        <v>90</v>
      </c>
      <c r="C47" s="53" t="s">
        <v>92</v>
      </c>
      <c r="D47" s="54" t="str">
        <f>IMAGE("https://raw.githubusercontent.com/RedCat161/AoM/main/Os/Os3_200.jpg")</f>
        <v/>
      </c>
      <c r="E47" s="55" t="str">
        <f>'Созвездия'!B9</f>
        <v/>
      </c>
      <c r="F47" s="55" t="s">
        <v>14</v>
      </c>
      <c r="G47" s="55" t="str">
        <f>'Созвездия'!B9</f>
        <v/>
      </c>
      <c r="H47" s="55" t="s">
        <v>14</v>
      </c>
      <c r="I47" s="55" t="str">
        <f>'Созвездия'!B6</f>
        <v/>
      </c>
      <c r="J47" s="55" t="s">
        <v>11</v>
      </c>
      <c r="K47" s="55" t="str">
        <f>'Созвездия'!B10</f>
        <v/>
      </c>
      <c r="L47" s="56" t="s">
        <v>15</v>
      </c>
      <c r="M47" s="57">
        <f t="shared" si="1"/>
        <v>1</v>
      </c>
      <c r="N47" s="58"/>
      <c r="O47" s="29"/>
      <c r="P47" s="61" t="s">
        <v>38</v>
      </c>
      <c r="Q47" s="29"/>
      <c r="R47" s="29"/>
      <c r="S47" s="59"/>
      <c r="T47" s="60"/>
      <c r="U47" s="59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37.5" customHeight="1">
      <c r="A48" s="40">
        <v>43.0</v>
      </c>
      <c r="B48" s="86" t="s">
        <v>90</v>
      </c>
      <c r="C48" s="53" t="s">
        <v>93</v>
      </c>
      <c r="D48" s="54" t="str">
        <f>IMAGE("https://raw.githubusercontent.com/RedCat161/AoM/main/Os/Os6_200.jpg")</f>
        <v/>
      </c>
      <c r="E48" s="55" t="str">
        <f>'Созвездия'!B3</f>
        <v/>
      </c>
      <c r="F48" s="55" t="s">
        <v>3</v>
      </c>
      <c r="G48" s="55" t="str">
        <f>'Созвездия'!B8</f>
        <v/>
      </c>
      <c r="H48" s="55" t="s">
        <v>13</v>
      </c>
      <c r="I48" s="55" t="str">
        <f>'Созвездия'!B6</f>
        <v/>
      </c>
      <c r="J48" s="55" t="s">
        <v>11</v>
      </c>
      <c r="K48" s="55" t="str">
        <f>'Созвездия'!B11</f>
        <v/>
      </c>
      <c r="L48" s="56" t="s">
        <v>16</v>
      </c>
      <c r="M48" s="57">
        <f t="shared" si="1"/>
        <v>3</v>
      </c>
      <c r="N48" s="58"/>
      <c r="O48" s="29"/>
      <c r="P48" s="62"/>
      <c r="Q48" s="29"/>
      <c r="R48" s="29"/>
      <c r="S48" s="59"/>
      <c r="T48" s="60"/>
      <c r="U48" s="59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37.5" customHeight="1">
      <c r="A49" s="40">
        <v>44.0</v>
      </c>
      <c r="B49" s="86" t="s">
        <v>90</v>
      </c>
      <c r="C49" s="53" t="s">
        <v>94</v>
      </c>
      <c r="D49" s="54" t="str">
        <f>IMAGE("https://raw.githubusercontent.com/RedCat161/AoM/main/Os/Os1_200.jpg")</f>
        <v/>
      </c>
      <c r="E49" s="55" t="str">
        <f>'Созвездия'!B9</f>
        <v/>
      </c>
      <c r="F49" s="55" t="s">
        <v>14</v>
      </c>
      <c r="G49" s="55" t="str">
        <f>'Созвездия'!B13</f>
        <v/>
      </c>
      <c r="H49" s="55" t="s">
        <v>18</v>
      </c>
      <c r="I49" s="55" t="str">
        <f>'Созвездия'!B12</f>
        <v/>
      </c>
      <c r="J49" s="55" t="s">
        <v>17</v>
      </c>
      <c r="K49" s="55" t="str">
        <f>'Созвездия'!B13</f>
        <v/>
      </c>
      <c r="L49" s="56" t="s">
        <v>18</v>
      </c>
      <c r="M49" s="57">
        <f t="shared" si="1"/>
        <v>1</v>
      </c>
      <c r="N49" s="58"/>
      <c r="O49" s="29"/>
      <c r="P49" s="61"/>
      <c r="Q49" s="29"/>
      <c r="R49" s="29"/>
      <c r="S49" s="59"/>
      <c r="T49" s="87"/>
      <c r="U49" s="59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37.5" customHeight="1">
      <c r="A50" s="40">
        <v>45.0</v>
      </c>
      <c r="B50" s="86" t="s">
        <v>90</v>
      </c>
      <c r="C50" s="53" t="s">
        <v>95</v>
      </c>
      <c r="D50" s="54" t="str">
        <f>IMAGE("https://raw.githubusercontent.com/RedCat161/AoM/main/Os/Os7_200.jpg")</f>
        <v/>
      </c>
      <c r="E50" s="55" t="str">
        <f>'Созвездия'!B13</f>
        <v/>
      </c>
      <c r="F50" s="55" t="s">
        <v>18</v>
      </c>
      <c r="G50" s="55" t="str">
        <f>'Созвездия'!B11</f>
        <v/>
      </c>
      <c r="H50" s="55" t="s">
        <v>16</v>
      </c>
      <c r="I50" s="55" t="str">
        <f>'Созвездия'!B2</f>
        <v/>
      </c>
      <c r="J50" s="55" t="s">
        <v>2</v>
      </c>
      <c r="K50" s="55" t="str">
        <f>'Созвездия'!B10</f>
        <v/>
      </c>
      <c r="L50" s="56" t="s">
        <v>15</v>
      </c>
      <c r="M50" s="57">
        <f t="shared" si="1"/>
        <v>1</v>
      </c>
      <c r="N50" s="61" t="s">
        <v>38</v>
      </c>
      <c r="O50" s="58"/>
      <c r="P50" s="29"/>
      <c r="Q50" s="29"/>
      <c r="R50" s="71" t="s">
        <v>96</v>
      </c>
      <c r="S50" s="59"/>
      <c r="T50" s="60"/>
      <c r="U50" s="59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37.5" customHeight="1">
      <c r="A51" s="40">
        <v>46.0</v>
      </c>
      <c r="B51" s="86" t="s">
        <v>90</v>
      </c>
      <c r="C51" s="53" t="s">
        <v>97</v>
      </c>
      <c r="D51" s="54" t="str">
        <f>IMAGE("https://raw.githubusercontent.com/RedCat161/AoM/main/Os/Os4_200.jpg")</f>
        <v/>
      </c>
      <c r="E51" s="55" t="str">
        <f>'Созвездия'!B12</f>
        <v/>
      </c>
      <c r="F51" s="55" t="s">
        <v>17</v>
      </c>
      <c r="G51" s="55" t="str">
        <f>'Созвездия'!B7</f>
        <v/>
      </c>
      <c r="H51" s="55" t="s">
        <v>12</v>
      </c>
      <c r="I51" s="55" t="str">
        <f>'Созвездия'!B12</f>
        <v/>
      </c>
      <c r="J51" s="55" t="s">
        <v>17</v>
      </c>
      <c r="K51" s="55" t="str">
        <f>'Созвездия'!B7</f>
        <v/>
      </c>
      <c r="L51" s="56" t="s">
        <v>12</v>
      </c>
      <c r="M51" s="57">
        <f t="shared" si="1"/>
        <v>0</v>
      </c>
      <c r="N51" s="58"/>
      <c r="O51" s="29"/>
      <c r="P51" s="62"/>
      <c r="Q51" s="29"/>
      <c r="R51" s="29"/>
      <c r="S51" s="59"/>
      <c r="T51" s="60"/>
      <c r="U51" s="59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37.5" customHeight="1">
      <c r="A52" s="40">
        <v>47.0</v>
      </c>
      <c r="B52" s="86" t="s">
        <v>90</v>
      </c>
      <c r="C52" s="53" t="s">
        <v>98</v>
      </c>
      <c r="D52" s="54" t="str">
        <f>IMAGE("https://raw.githubusercontent.com/RedCat161/AoM/main/Os/Os2_200.jpg")</f>
        <v/>
      </c>
      <c r="E52" s="55" t="str">
        <f>'Созвездия'!B11</f>
        <v/>
      </c>
      <c r="F52" s="55" t="s">
        <v>16</v>
      </c>
      <c r="G52" s="55" t="str">
        <f>'Созвездия'!B11</f>
        <v/>
      </c>
      <c r="H52" s="55" t="s">
        <v>16</v>
      </c>
      <c r="I52" s="55" t="str">
        <f>'Созвездия'!B3</f>
        <v/>
      </c>
      <c r="J52" s="55" t="s">
        <v>3</v>
      </c>
      <c r="K52" s="55" t="str">
        <f>'Созвездия'!B10</f>
        <v/>
      </c>
      <c r="L52" s="56" t="s">
        <v>15</v>
      </c>
      <c r="M52" s="57">
        <f t="shared" si="1"/>
        <v>1</v>
      </c>
      <c r="N52" s="61" t="s">
        <v>38</v>
      </c>
      <c r="O52" s="62"/>
      <c r="P52" s="61"/>
      <c r="Q52" s="29"/>
      <c r="R52" s="29"/>
      <c r="S52" s="59"/>
      <c r="T52" s="60"/>
      <c r="U52" s="59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37.5" customHeight="1">
      <c r="A53" s="40">
        <v>48.0</v>
      </c>
      <c r="B53" s="88" t="s">
        <v>99</v>
      </c>
      <c r="C53" s="53" t="s">
        <v>100</v>
      </c>
      <c r="D53" s="54" t="str">
        <f>IMAGE("https://raw.githubusercontent.com/RedCat161/AoM/main/witches/witch4_200.jpg")</f>
        <v/>
      </c>
      <c r="E53" s="55" t="str">
        <f>'Созвездия'!B8</f>
        <v/>
      </c>
      <c r="F53" s="55" t="s">
        <v>13</v>
      </c>
      <c r="G53" s="55" t="str">
        <f>'Созвездия'!B6</f>
        <v/>
      </c>
      <c r="H53" s="55" t="s">
        <v>11</v>
      </c>
      <c r="I53" s="55" t="str">
        <f>'Созвездия'!B2</f>
        <v/>
      </c>
      <c r="J53" s="55" t="s">
        <v>2</v>
      </c>
      <c r="K53" s="55" t="str">
        <f>'Созвездия'!B11</f>
        <v/>
      </c>
      <c r="L53" s="56" t="s">
        <v>16</v>
      </c>
      <c r="M53" s="57">
        <f t="shared" si="1"/>
        <v>2</v>
      </c>
      <c r="N53" s="58"/>
      <c r="O53" s="29"/>
      <c r="P53" s="58"/>
      <c r="Q53" s="62"/>
      <c r="R53" s="29"/>
      <c r="S53" s="59"/>
      <c r="T53" s="60"/>
      <c r="U53" s="59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37.5" customHeight="1">
      <c r="A54" s="40">
        <v>49.0</v>
      </c>
      <c r="B54" s="88" t="s">
        <v>99</v>
      </c>
      <c r="C54" s="53" t="s">
        <v>101</v>
      </c>
      <c r="D54" s="54" t="str">
        <f>IMAGE("https://raw.githubusercontent.com/RedCat161/AoM/main/witches/witch2_200.jpg")</f>
        <v/>
      </c>
      <c r="E54" s="55" t="str">
        <f>'Созвездия'!B8</f>
        <v/>
      </c>
      <c r="F54" s="55" t="s">
        <v>13</v>
      </c>
      <c r="G54" s="55" t="str">
        <f>'Созвездия'!B8</f>
        <v/>
      </c>
      <c r="H54" s="55" t="s">
        <v>13</v>
      </c>
      <c r="I54" s="55" t="str">
        <f>'Созвездия'!B8</f>
        <v/>
      </c>
      <c r="J54" s="55" t="s">
        <v>13</v>
      </c>
      <c r="K54" s="55" t="str">
        <f>'Созвездия'!B2</f>
        <v/>
      </c>
      <c r="L54" s="56" t="s">
        <v>2</v>
      </c>
      <c r="M54" s="57">
        <f t="shared" si="1"/>
        <v>1</v>
      </c>
      <c r="N54" s="61" t="s">
        <v>38</v>
      </c>
      <c r="O54" s="58"/>
      <c r="P54" s="62"/>
      <c r="Q54" s="29"/>
      <c r="R54" s="29"/>
      <c r="S54" s="59"/>
      <c r="T54" s="60"/>
      <c r="U54" s="59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37.5" customHeight="1">
      <c r="A55" s="40">
        <v>50.0</v>
      </c>
      <c r="B55" s="88" t="s">
        <v>99</v>
      </c>
      <c r="C55" s="53" t="s">
        <v>102</v>
      </c>
      <c r="D55" s="54" t="str">
        <f>IMAGE("https://raw.githubusercontent.com/RedCat161/AoM/main/witches/witch1_200.jpg")</f>
        <v/>
      </c>
      <c r="E55" s="55" t="str">
        <f>'Созвездия'!B8</f>
        <v/>
      </c>
      <c r="F55" s="55" t="s">
        <v>13</v>
      </c>
      <c r="G55" s="55" t="str">
        <f>'Созвездия'!B8</f>
        <v/>
      </c>
      <c r="H55" s="55" t="s">
        <v>13</v>
      </c>
      <c r="I55" s="55" t="str">
        <f>'Созвездия'!B8</f>
        <v/>
      </c>
      <c r="J55" s="55" t="s">
        <v>13</v>
      </c>
      <c r="K55" s="55" t="str">
        <f>'Созвездия'!B13</f>
        <v/>
      </c>
      <c r="L55" s="56" t="s">
        <v>18</v>
      </c>
      <c r="M55" s="57">
        <f t="shared" si="1"/>
        <v>2</v>
      </c>
      <c r="N55" s="58"/>
      <c r="O55" s="29"/>
      <c r="P55" s="29"/>
      <c r="Q55" s="29"/>
      <c r="R55" s="29"/>
      <c r="S55" s="59"/>
      <c r="T55" s="60"/>
      <c r="U55" s="59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37.5" customHeight="1">
      <c r="A56" s="40">
        <v>51.0</v>
      </c>
      <c r="B56" s="88" t="s">
        <v>99</v>
      </c>
      <c r="C56" s="53" t="s">
        <v>103</v>
      </c>
      <c r="D56" s="54" t="str">
        <f>IMAGE("https://raw.githubusercontent.com/RedCat161/AoM/main/witches/witch7_200.jpg")</f>
        <v/>
      </c>
      <c r="E56" s="55" t="str">
        <f>'Созвездия'!B8</f>
        <v/>
      </c>
      <c r="F56" s="55" t="s">
        <v>13</v>
      </c>
      <c r="G56" s="55" t="str">
        <f>'Созвездия'!B11</f>
        <v/>
      </c>
      <c r="H56" s="55" t="s">
        <v>16</v>
      </c>
      <c r="I56" s="55" t="str">
        <f>'Созвездия'!B11</f>
        <v/>
      </c>
      <c r="J56" s="55" t="s">
        <v>16</v>
      </c>
      <c r="K56" s="55" t="str">
        <f>'Созвездия'!B4</f>
        <v/>
      </c>
      <c r="L56" s="56" t="s">
        <v>8</v>
      </c>
      <c r="M56" s="57">
        <f t="shared" si="1"/>
        <v>1</v>
      </c>
      <c r="N56" s="58"/>
      <c r="O56" s="62"/>
      <c r="P56" s="58"/>
      <c r="Q56" s="29"/>
      <c r="R56" s="29"/>
      <c r="S56" s="59"/>
      <c r="T56" s="60"/>
      <c r="U56" s="59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37.5" customHeight="1">
      <c r="A57" s="40">
        <v>52.0</v>
      </c>
      <c r="B57" s="88" t="s">
        <v>99</v>
      </c>
      <c r="C57" s="53" t="s">
        <v>104</v>
      </c>
      <c r="D57" s="54" t="str">
        <f>IMAGE("https://raw.githubusercontent.com/RedCat161/AoM/main/witches/witch3_200.jpg")</f>
        <v/>
      </c>
      <c r="E57" s="55" t="str">
        <f>'Созвездия'!B7</f>
        <v/>
      </c>
      <c r="F57" s="55" t="s">
        <v>12</v>
      </c>
      <c r="G57" s="55" t="str">
        <f>'Созвездия'!B7</f>
        <v/>
      </c>
      <c r="H57" s="55" t="s">
        <v>12</v>
      </c>
      <c r="I57" s="55" t="str">
        <f>'Созвездия'!B12</f>
        <v/>
      </c>
      <c r="J57" s="55" t="s">
        <v>17</v>
      </c>
      <c r="K57" s="55" t="str">
        <f>'Созвездия'!B4</f>
        <v/>
      </c>
      <c r="L57" s="56" t="s">
        <v>8</v>
      </c>
      <c r="M57" s="57">
        <f t="shared" si="1"/>
        <v>0</v>
      </c>
      <c r="N57" s="58"/>
      <c r="O57" s="29"/>
      <c r="P57" s="29"/>
      <c r="Q57" s="29"/>
      <c r="R57" s="29"/>
      <c r="S57" s="59"/>
      <c r="T57" s="60"/>
      <c r="U57" s="59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37.5" customHeight="1">
      <c r="A58" s="40">
        <v>53.0</v>
      </c>
      <c r="B58" s="88" t="s">
        <v>99</v>
      </c>
      <c r="C58" s="53" t="s">
        <v>105</v>
      </c>
      <c r="D58" s="54" t="str">
        <f>IMAGE("https://raw.githubusercontent.com/RedCat161/AoM/main/witches/witch5_200.jpg")</f>
        <v/>
      </c>
      <c r="E58" s="55" t="str">
        <f>'Созвездия'!B3</f>
        <v/>
      </c>
      <c r="F58" s="55" t="s">
        <v>3</v>
      </c>
      <c r="G58" s="55" t="str">
        <f>'Созвездия'!B6</f>
        <v/>
      </c>
      <c r="H58" s="55" t="s">
        <v>11</v>
      </c>
      <c r="I58" s="55" t="str">
        <f>'Созвездия'!B5</f>
        <v/>
      </c>
      <c r="J58" s="55" t="s">
        <v>10</v>
      </c>
      <c r="K58" s="55" t="str">
        <f>'Созвездия'!B8</f>
        <v/>
      </c>
      <c r="L58" s="56" t="s">
        <v>13</v>
      </c>
      <c r="M58" s="57">
        <f t="shared" si="1"/>
        <v>3</v>
      </c>
      <c r="N58" s="58"/>
      <c r="O58" s="62"/>
      <c r="P58" s="62"/>
      <c r="Q58" s="29"/>
      <c r="R58" s="29"/>
      <c r="S58" s="59"/>
      <c r="T58" s="60"/>
      <c r="U58" s="59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37.5" customHeight="1">
      <c r="A59" s="40">
        <v>54.0</v>
      </c>
      <c r="B59" s="88" t="s">
        <v>99</v>
      </c>
      <c r="C59" s="53" t="s">
        <v>106</v>
      </c>
      <c r="D59" s="54" t="str">
        <f>IMAGE("https://raw.githubusercontent.com/RedCat161/AoM/main/witches/witch6_200.jpg")</f>
        <v/>
      </c>
      <c r="E59" s="55" t="str">
        <f>'Созвездия'!B9</f>
        <v/>
      </c>
      <c r="F59" s="55" t="s">
        <v>14</v>
      </c>
      <c r="G59" s="55" t="str">
        <f>'Созвездия'!B3</f>
        <v/>
      </c>
      <c r="H59" s="55" t="s">
        <v>3</v>
      </c>
      <c r="I59" s="55" t="str">
        <f>'Созвездия'!B11</f>
        <v/>
      </c>
      <c r="J59" s="55" t="s">
        <v>16</v>
      </c>
      <c r="K59" s="55" t="str">
        <f>'Созвездия'!B6</f>
        <v/>
      </c>
      <c r="L59" s="56" t="s">
        <v>11</v>
      </c>
      <c r="M59" s="57">
        <f t="shared" si="1"/>
        <v>2</v>
      </c>
      <c r="N59" s="61" t="s">
        <v>38</v>
      </c>
      <c r="O59" s="62"/>
      <c r="P59" s="58"/>
      <c r="Q59" s="29"/>
      <c r="R59" s="29"/>
      <c r="S59" s="59"/>
      <c r="T59" s="60"/>
      <c r="U59" s="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37.5" customHeight="1">
      <c r="A60" s="40">
        <v>55.0</v>
      </c>
      <c r="B60" s="88" t="s">
        <v>99</v>
      </c>
      <c r="C60" s="89" t="s">
        <v>107</v>
      </c>
      <c r="D60" s="54" t="str">
        <f>IMAGE("https://raw.githubusercontent.com/RedCat161/AoM/main/witches/witch8_200.jpg")</f>
        <v/>
      </c>
      <c r="E60" s="55" t="str">
        <f>'Созвездия'!B11</f>
        <v/>
      </c>
      <c r="F60" s="55" t="s">
        <v>16</v>
      </c>
      <c r="G60" s="55" t="str">
        <f>'Созвездия'!B11</f>
        <v/>
      </c>
      <c r="H60" s="55" t="s">
        <v>16</v>
      </c>
      <c r="I60" s="55" t="str">
        <f>'Созвездия'!B11</f>
        <v/>
      </c>
      <c r="J60" s="55" t="s">
        <v>16</v>
      </c>
      <c r="K60" s="55" t="str">
        <f>'Созвездия'!B3</f>
        <v/>
      </c>
      <c r="L60" s="56" t="s">
        <v>3</v>
      </c>
      <c r="M60" s="57">
        <f t="shared" si="1"/>
        <v>1</v>
      </c>
      <c r="N60" s="58"/>
      <c r="O60" s="29"/>
      <c r="P60" s="29"/>
      <c r="Q60" s="68" t="s">
        <v>38</v>
      </c>
      <c r="R60" s="29"/>
      <c r="S60" s="59"/>
      <c r="T60" s="60"/>
      <c r="U60" s="5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37.5" customHeight="1">
      <c r="A61" s="40">
        <v>56.0</v>
      </c>
      <c r="B61" s="88" t="s">
        <v>99</v>
      </c>
      <c r="C61" s="53" t="s">
        <v>108</v>
      </c>
      <c r="D61" s="54" t="str">
        <f>IMAGE("https://raw.githubusercontent.com/RedCat161/AoM/main/witches/witch9_200.jpg")</f>
        <v/>
      </c>
      <c r="E61" s="55" t="str">
        <f>'Созвездия'!B12</f>
        <v/>
      </c>
      <c r="F61" s="55" t="s">
        <v>17</v>
      </c>
      <c r="G61" s="55" t="str">
        <f>'Созвездия'!B12</f>
        <v/>
      </c>
      <c r="H61" s="55" t="s">
        <v>17</v>
      </c>
      <c r="I61" s="55" t="str">
        <f>'Созвездия'!B12</f>
        <v/>
      </c>
      <c r="J61" s="55" t="s">
        <v>17</v>
      </c>
      <c r="K61" s="55" t="str">
        <f>'Созвездия'!B7</f>
        <v/>
      </c>
      <c r="L61" s="56" t="s">
        <v>12</v>
      </c>
      <c r="M61" s="57">
        <f t="shared" si="1"/>
        <v>0</v>
      </c>
      <c r="N61" s="61" t="s">
        <v>38</v>
      </c>
      <c r="O61" s="29"/>
      <c r="P61" s="29"/>
      <c r="Q61" s="29"/>
      <c r="R61" s="29"/>
      <c r="S61" s="59"/>
      <c r="T61" s="60"/>
      <c r="U61" s="59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37.5" customHeight="1">
      <c r="A62" s="40">
        <v>57.0</v>
      </c>
      <c r="B62" s="88" t="s">
        <v>99</v>
      </c>
      <c r="C62" s="53" t="s">
        <v>109</v>
      </c>
      <c r="D62" s="54" t="str">
        <f>IMAGE("https://raw.githubusercontent.com/RedCat161/AoM/main/witches/witch10_200.jpg")</f>
        <v/>
      </c>
      <c r="E62" s="55" t="str">
        <f>'Созвездия'!B2</f>
        <v/>
      </c>
      <c r="F62" s="55" t="s">
        <v>2</v>
      </c>
      <c r="G62" s="55" t="str">
        <f>'Созвездия'!B2</f>
        <v/>
      </c>
      <c r="H62" s="55" t="s">
        <v>2</v>
      </c>
      <c r="I62" s="55" t="str">
        <f>'Созвездия'!B3</f>
        <v/>
      </c>
      <c r="J62" s="55" t="s">
        <v>3</v>
      </c>
      <c r="K62" s="55" t="str">
        <f>'Созвездия'!B10</f>
        <v/>
      </c>
      <c r="L62" s="56" t="s">
        <v>15</v>
      </c>
      <c r="M62" s="57">
        <f t="shared" si="1"/>
        <v>1</v>
      </c>
      <c r="N62" s="58"/>
      <c r="O62" s="29"/>
      <c r="P62" s="68" t="s">
        <v>38</v>
      </c>
      <c r="Q62" s="29"/>
      <c r="R62" s="29"/>
      <c r="S62" s="59"/>
      <c r="T62" s="60"/>
      <c r="U62" s="59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37.5" customHeight="1">
      <c r="A63" s="40">
        <v>58.0</v>
      </c>
      <c r="B63" s="88" t="s">
        <v>99</v>
      </c>
      <c r="C63" s="53" t="s">
        <v>110</v>
      </c>
      <c r="D63" s="54" t="str">
        <f>IMAGE("https://raw.githubusercontent.com/RedCat161/AoM/main/witches/witch11_200.jpg")</f>
        <v/>
      </c>
      <c r="E63" s="55" t="str">
        <f>'Созвездия'!B3</f>
        <v/>
      </c>
      <c r="F63" s="55" t="s">
        <v>3</v>
      </c>
      <c r="G63" s="55" t="str">
        <f>'Созвездия'!B3</f>
        <v/>
      </c>
      <c r="H63" s="55" t="s">
        <v>3</v>
      </c>
      <c r="I63" s="55" t="str">
        <f>'Созвездия'!B3</f>
        <v/>
      </c>
      <c r="J63" s="55" t="s">
        <v>3</v>
      </c>
      <c r="K63" s="55" t="str">
        <f>'Созвездия'!B3</f>
        <v/>
      </c>
      <c r="L63" s="56" t="s">
        <v>3</v>
      </c>
      <c r="M63" s="57">
        <f t="shared" si="1"/>
        <v>1</v>
      </c>
      <c r="N63" s="62"/>
      <c r="O63" s="62"/>
      <c r="P63" s="61" t="s">
        <v>38</v>
      </c>
      <c r="Q63" s="29"/>
      <c r="R63" s="69" t="s">
        <v>50</v>
      </c>
      <c r="S63" s="59"/>
      <c r="T63" s="60"/>
      <c r="U63" s="5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37.5" customHeight="1">
      <c r="A64" s="40">
        <v>59.0</v>
      </c>
      <c r="B64" s="90" t="s">
        <v>111</v>
      </c>
      <c r="C64" s="53" t="s">
        <v>112</v>
      </c>
      <c r="D64" s="54" t="str">
        <f>IMAGE("https://raw.githubusercontent.com/RedCat161/AoM/main/renegades/apostate5_200.jpg")</f>
        <v/>
      </c>
      <c r="E64" s="55" t="str">
        <f>'Созвездия'!B6</f>
        <v/>
      </c>
      <c r="F64" s="55" t="s">
        <v>11</v>
      </c>
      <c r="G64" s="55" t="str">
        <f>'Созвездия'!B5</f>
        <v/>
      </c>
      <c r="H64" s="55" t="s">
        <v>10</v>
      </c>
      <c r="I64" s="55" t="str">
        <f>'Созвездия'!B8</f>
        <v/>
      </c>
      <c r="J64" s="55" t="s">
        <v>13</v>
      </c>
      <c r="K64" s="55" t="str">
        <f>'Созвездия'!B10</f>
        <v/>
      </c>
      <c r="L64" s="56" t="s">
        <v>15</v>
      </c>
      <c r="M64" s="57">
        <f t="shared" si="1"/>
        <v>2</v>
      </c>
      <c r="N64" s="58"/>
      <c r="O64" s="29"/>
      <c r="P64" s="58"/>
      <c r="Q64" s="62"/>
      <c r="R64" s="29"/>
      <c r="S64" s="59"/>
      <c r="T64" s="91"/>
      <c r="U64" s="92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37.5" customHeight="1">
      <c r="A65" s="40">
        <v>60.0</v>
      </c>
      <c r="B65" s="90" t="s">
        <v>111</v>
      </c>
      <c r="C65" s="53" t="s">
        <v>113</v>
      </c>
      <c r="D65" s="54" t="str">
        <f>IMAGE("https://raw.githubusercontent.com/RedCat161/AoM/main/renegades/apostate6_200.jpg")</f>
        <v/>
      </c>
      <c r="E65" s="55" t="str">
        <f>'Созвездия'!B12</f>
        <v/>
      </c>
      <c r="F65" s="55" t="s">
        <v>17</v>
      </c>
      <c r="G65" s="55" t="str">
        <f>'Созвездия'!B5</f>
        <v/>
      </c>
      <c r="H65" s="55" t="s">
        <v>10</v>
      </c>
      <c r="I65" s="55" t="str">
        <f>'Созвездия'!B3</f>
        <v/>
      </c>
      <c r="J65" s="55" t="s">
        <v>3</v>
      </c>
      <c r="K65" s="55" t="str">
        <f>'Созвездия'!B12</f>
        <v/>
      </c>
      <c r="L65" s="56" t="s">
        <v>17</v>
      </c>
      <c r="M65" s="57">
        <f t="shared" si="1"/>
        <v>1</v>
      </c>
      <c r="N65" s="58"/>
      <c r="O65" s="62"/>
      <c r="P65" s="29"/>
      <c r="Q65" s="29"/>
      <c r="R65" s="29"/>
      <c r="S65" s="59"/>
      <c r="T65" s="60"/>
      <c r="U65" s="79" t="s">
        <v>114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37.5" customHeight="1">
      <c r="A66" s="40">
        <v>61.0</v>
      </c>
      <c r="B66" s="90" t="s">
        <v>111</v>
      </c>
      <c r="C66" s="53" t="s">
        <v>115</v>
      </c>
      <c r="D66" s="54" t="str">
        <f>IMAGE("https://raw.githubusercontent.com/RedCat161/AoM/main/renegades/apostate4_200.jpg")</f>
        <v/>
      </c>
      <c r="E66" s="55" t="str">
        <f>'Созвездия'!B9</f>
        <v/>
      </c>
      <c r="F66" s="55" t="s">
        <v>14</v>
      </c>
      <c r="G66" s="55" t="str">
        <f>'Созвездия'!B5</f>
        <v/>
      </c>
      <c r="H66" s="55" t="s">
        <v>10</v>
      </c>
      <c r="I66" s="55" t="str">
        <f>'Созвездия'!B5</f>
        <v/>
      </c>
      <c r="J66" s="55" t="s">
        <v>10</v>
      </c>
      <c r="K66" s="55" t="str">
        <f>'Созвездия'!B13</f>
        <v/>
      </c>
      <c r="L66" s="56" t="s">
        <v>18</v>
      </c>
      <c r="M66" s="57">
        <f t="shared" si="1"/>
        <v>1</v>
      </c>
      <c r="N66" s="61" t="s">
        <v>38</v>
      </c>
      <c r="O66" s="29"/>
      <c r="P66" s="29"/>
      <c r="Q66" s="29"/>
      <c r="R66" s="29"/>
      <c r="S66" s="59"/>
      <c r="T66" s="60"/>
      <c r="U66" s="79" t="s">
        <v>114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37.5" customHeight="1">
      <c r="A67" s="40">
        <v>62.0</v>
      </c>
      <c r="B67" s="90" t="s">
        <v>111</v>
      </c>
      <c r="C67" s="53" t="s">
        <v>116</v>
      </c>
      <c r="D67" s="54" t="str">
        <f>IMAGE("https://raw.githubusercontent.com/RedCat161/AoM/main/renegades/apostate3_200.jpg")</f>
        <v/>
      </c>
      <c r="E67" s="55" t="str">
        <f>'Созвездия'!B5</f>
        <v/>
      </c>
      <c r="F67" s="55" t="s">
        <v>10</v>
      </c>
      <c r="G67" s="55" t="str">
        <f>'Созвездия'!B6</f>
        <v/>
      </c>
      <c r="H67" s="55" t="s">
        <v>11</v>
      </c>
      <c r="I67" s="55" t="str">
        <f>'Созвездия'!B11</f>
        <v/>
      </c>
      <c r="J67" s="55" t="s">
        <v>16</v>
      </c>
      <c r="K67" s="55" t="str">
        <f>'Созвездия'!B2</f>
        <v/>
      </c>
      <c r="L67" s="56" t="s">
        <v>2</v>
      </c>
      <c r="M67" s="57">
        <f t="shared" si="1"/>
        <v>1</v>
      </c>
      <c r="N67" s="58"/>
      <c r="O67" s="58"/>
      <c r="P67" s="58"/>
      <c r="Q67" s="29"/>
      <c r="R67" s="29"/>
      <c r="S67" s="59"/>
      <c r="T67" s="60"/>
      <c r="U67" s="79" t="s">
        <v>114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37.5" customHeight="1">
      <c r="A68" s="40">
        <v>63.0</v>
      </c>
      <c r="B68" s="90" t="s">
        <v>111</v>
      </c>
      <c r="C68" s="89" t="s">
        <v>117</v>
      </c>
      <c r="D68" s="54" t="str">
        <f>IMAGE("https://raw.githubusercontent.com/RedCat161/AoM/main/renegades/apostate8_200.jpg")</f>
        <v/>
      </c>
      <c r="E68" s="55" t="str">
        <f>'Созвездия'!B8</f>
        <v/>
      </c>
      <c r="F68" s="55" t="s">
        <v>13</v>
      </c>
      <c r="G68" s="55" t="str">
        <f>'Созвездия'!B12</f>
        <v/>
      </c>
      <c r="H68" s="55" t="s">
        <v>17</v>
      </c>
      <c r="I68" s="55" t="str">
        <f>'Созвездия'!B12</f>
        <v/>
      </c>
      <c r="J68" s="55" t="s">
        <v>17</v>
      </c>
      <c r="K68" s="55" t="str">
        <f>'Созвездия'!B11</f>
        <v/>
      </c>
      <c r="L68" s="56" t="s">
        <v>16</v>
      </c>
      <c r="M68" s="57">
        <f t="shared" si="1"/>
        <v>1</v>
      </c>
      <c r="N68" s="58"/>
      <c r="O68" s="58"/>
      <c r="P68" s="29"/>
      <c r="Q68" s="29"/>
      <c r="R68" s="29"/>
      <c r="S68" s="59"/>
      <c r="T68" s="60"/>
      <c r="U68" s="79" t="s">
        <v>114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37.5" customHeight="1">
      <c r="A69" s="40">
        <v>64.0</v>
      </c>
      <c r="B69" s="90" t="s">
        <v>111</v>
      </c>
      <c r="C69" s="53" t="s">
        <v>118</v>
      </c>
      <c r="D69" s="54" t="str">
        <f>IMAGE("https://raw.githubusercontent.com/RedCat161/AoM/main/renegades/apostate2_200.jpg")</f>
        <v/>
      </c>
      <c r="E69" s="55" t="str">
        <f>'Созвездия'!B5</f>
        <v/>
      </c>
      <c r="F69" s="55" t="s">
        <v>10</v>
      </c>
      <c r="G69" s="55" t="str">
        <f>'Созвездия'!B5</f>
        <v/>
      </c>
      <c r="H69" s="55" t="s">
        <v>10</v>
      </c>
      <c r="I69" s="55" t="str">
        <f>'Созвездия'!B6</f>
        <v/>
      </c>
      <c r="J69" s="55" t="s">
        <v>11</v>
      </c>
      <c r="K69" s="55" t="str">
        <f>'Созвездия'!B3</f>
        <v/>
      </c>
      <c r="L69" s="56" t="s">
        <v>3</v>
      </c>
      <c r="M69" s="57">
        <f t="shared" si="1"/>
        <v>2</v>
      </c>
      <c r="N69" s="58"/>
      <c r="O69" s="61" t="s">
        <v>38</v>
      </c>
      <c r="P69" s="62"/>
      <c r="Q69" s="29"/>
      <c r="R69" s="29"/>
      <c r="S69" s="59"/>
      <c r="T69" s="60"/>
      <c r="U69" s="79" t="s">
        <v>114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37.5" customHeight="1">
      <c r="A70" s="40">
        <v>65.0</v>
      </c>
      <c r="B70" s="90" t="s">
        <v>111</v>
      </c>
      <c r="C70" s="53" t="s">
        <v>119</v>
      </c>
      <c r="D70" s="54" t="str">
        <f>IMAGE("https://raw.githubusercontent.com/RedCat161/AoM/main/renegades/apostate7_200.jpg")</f>
        <v/>
      </c>
      <c r="E70" s="55" t="str">
        <f>'Созвездия'!B8</f>
        <v/>
      </c>
      <c r="F70" s="55" t="s">
        <v>13</v>
      </c>
      <c r="G70" s="55" t="str">
        <f>'Созвездия'!B13</f>
        <v/>
      </c>
      <c r="H70" s="55" t="s">
        <v>18</v>
      </c>
      <c r="I70" s="55" t="str">
        <f>'Созвездия'!B2</f>
        <v/>
      </c>
      <c r="J70" s="55" t="s">
        <v>2</v>
      </c>
      <c r="K70" s="55" t="str">
        <f>'Созвездия'!B12</f>
        <v/>
      </c>
      <c r="L70" s="56" t="s">
        <v>17</v>
      </c>
      <c r="M70" s="57">
        <f t="shared" si="1"/>
        <v>2</v>
      </c>
      <c r="N70" s="58"/>
      <c r="O70" s="62"/>
      <c r="P70" s="29"/>
      <c r="Q70" s="29"/>
      <c r="R70" s="29"/>
      <c r="S70" s="59"/>
      <c r="T70" s="60"/>
      <c r="U70" s="79" t="s">
        <v>114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37.5" customHeight="1">
      <c r="A71" s="40">
        <v>66.0</v>
      </c>
      <c r="B71" s="90" t="s">
        <v>111</v>
      </c>
      <c r="C71" s="53" t="s">
        <v>120</v>
      </c>
      <c r="D71" s="54" t="str">
        <f>IMAGE("https://raw.githubusercontent.com/RedCat161/AoM/main/renegades/apostate1_200.jpg")</f>
        <v/>
      </c>
      <c r="E71" s="55" t="str">
        <f>'Созвездия'!B5</f>
        <v/>
      </c>
      <c r="F71" s="55" t="s">
        <v>10</v>
      </c>
      <c r="G71" s="55" t="str">
        <f>'Созвездия'!B11</f>
        <v/>
      </c>
      <c r="H71" s="55" t="s">
        <v>16</v>
      </c>
      <c r="I71" s="55" t="str">
        <f>'Созвездия'!B6</f>
        <v/>
      </c>
      <c r="J71" s="55" t="s">
        <v>11</v>
      </c>
      <c r="K71" s="55" t="str">
        <f>'Созвездия'!B5</f>
        <v/>
      </c>
      <c r="L71" s="56" t="s">
        <v>10</v>
      </c>
      <c r="M71" s="57">
        <f t="shared" si="1"/>
        <v>1</v>
      </c>
      <c r="N71" s="58"/>
      <c r="O71" s="58"/>
      <c r="P71" s="29"/>
      <c r="Q71" s="29"/>
      <c r="R71" s="29"/>
      <c r="S71" s="59"/>
      <c r="T71" s="60"/>
      <c r="U71" s="79" t="s">
        <v>114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37.5" customHeight="1">
      <c r="A72" s="40">
        <v>67.0</v>
      </c>
      <c r="B72" s="90" t="s">
        <v>111</v>
      </c>
      <c r="C72" s="53" t="s">
        <v>121</v>
      </c>
      <c r="D72" s="54" t="str">
        <f>IMAGE("https://raw.githubusercontent.com/RedCat161/AoM/main/renegades/apostate9_200.jpg")</f>
        <v/>
      </c>
      <c r="E72" s="55" t="str">
        <f>'Созвездия'!B9</f>
        <v/>
      </c>
      <c r="F72" s="55" t="s">
        <v>14</v>
      </c>
      <c r="G72" s="55" t="str">
        <f>'Созвездия'!B3</f>
        <v/>
      </c>
      <c r="H72" s="55" t="s">
        <v>3</v>
      </c>
      <c r="I72" s="55" t="str">
        <f>'Созвездия'!B3</f>
        <v/>
      </c>
      <c r="J72" s="55" t="s">
        <v>3</v>
      </c>
      <c r="K72" s="55" t="str">
        <f>'Созвездия'!B8</f>
        <v/>
      </c>
      <c r="L72" s="56" t="s">
        <v>13</v>
      </c>
      <c r="M72" s="57">
        <f t="shared" si="1"/>
        <v>2</v>
      </c>
      <c r="N72" s="58"/>
      <c r="O72" s="58"/>
      <c r="P72" s="62"/>
      <c r="Q72" s="29"/>
      <c r="R72" s="29"/>
      <c r="S72" s="59"/>
      <c r="T72" s="60"/>
      <c r="U72" s="93" t="s">
        <v>114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37.5" customHeight="1">
      <c r="A73" s="40">
        <v>68.0</v>
      </c>
      <c r="B73" s="94" t="s">
        <v>122</v>
      </c>
      <c r="C73" s="53" t="s">
        <v>123</v>
      </c>
      <c r="D73" s="54" t="str">
        <f>IMAGE("https://raw.githubusercontent.com/RedCat161/AoM/main/wildelf/wildelf5_200.jpg")</f>
        <v/>
      </c>
      <c r="E73" s="55" t="str">
        <f>'Созвездия'!B8</f>
        <v/>
      </c>
      <c r="F73" s="55" t="s">
        <v>13</v>
      </c>
      <c r="G73" s="55" t="str">
        <f>'Созвездия'!B8</f>
        <v/>
      </c>
      <c r="H73" s="55" t="s">
        <v>13</v>
      </c>
      <c r="I73" s="55" t="str">
        <f>'Созвездия'!B3</f>
        <v/>
      </c>
      <c r="J73" s="55" t="s">
        <v>3</v>
      </c>
      <c r="K73" s="55" t="str">
        <f>'Созвездия'!B2</f>
        <v/>
      </c>
      <c r="L73" s="56" t="s">
        <v>2</v>
      </c>
      <c r="M73" s="57">
        <f t="shared" si="1"/>
        <v>2</v>
      </c>
      <c r="N73" s="58"/>
      <c r="O73" s="29"/>
      <c r="P73" s="62"/>
      <c r="Q73" s="29"/>
      <c r="R73" s="29"/>
      <c r="S73" s="95" t="s">
        <v>124</v>
      </c>
      <c r="T73" s="60"/>
      <c r="U73" s="79" t="s">
        <v>125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37.5" customHeight="1">
      <c r="A74" s="40">
        <v>69.0</v>
      </c>
      <c r="B74" s="96" t="s">
        <v>122</v>
      </c>
      <c r="C74" s="53" t="s">
        <v>126</v>
      </c>
      <c r="D74" s="54" t="str">
        <f>IMAGE("https://raw.githubusercontent.com/RedCat161/AoM/main/wildelf/wildelf8_200.jpg")</f>
        <v/>
      </c>
      <c r="E74" s="55" t="str">
        <f>'Созвездия'!B8</f>
        <v/>
      </c>
      <c r="F74" s="55" t="s">
        <v>13</v>
      </c>
      <c r="G74" s="55" t="str">
        <f>'Созвездия'!B13</f>
        <v/>
      </c>
      <c r="H74" s="55" t="s">
        <v>18</v>
      </c>
      <c r="I74" s="55" t="str">
        <f>'Созвездия'!B12</f>
        <v/>
      </c>
      <c r="J74" s="55" t="s">
        <v>17</v>
      </c>
      <c r="K74" s="55" t="str">
        <f>'Созвездия'!B12</f>
        <v/>
      </c>
      <c r="L74" s="56" t="s">
        <v>17</v>
      </c>
      <c r="M74" s="57">
        <f t="shared" si="1"/>
        <v>2</v>
      </c>
      <c r="N74" s="58"/>
      <c r="O74" s="29"/>
      <c r="P74" s="29"/>
      <c r="Q74" s="29"/>
      <c r="R74" s="29"/>
      <c r="S74" s="95" t="s">
        <v>124</v>
      </c>
      <c r="T74" s="60"/>
      <c r="U74" s="79" t="s">
        <v>127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37.5" customHeight="1">
      <c r="A75" s="40">
        <v>70.0</v>
      </c>
      <c r="B75" s="96" t="s">
        <v>122</v>
      </c>
      <c r="C75" s="53" t="s">
        <v>128</v>
      </c>
      <c r="D75" s="54" t="str">
        <f>IMAGE("https://raw.githubusercontent.com/RedCat161/AoM/main/wildelf/wildelf3_200.jpg")</f>
        <v/>
      </c>
      <c r="E75" s="55" t="str">
        <f>'Созвездия'!B11</f>
        <v/>
      </c>
      <c r="F75" s="55" t="s">
        <v>16</v>
      </c>
      <c r="G75" s="55" t="str">
        <f>'Созвездия'!B11</f>
        <v/>
      </c>
      <c r="H75" s="55" t="s">
        <v>16</v>
      </c>
      <c r="I75" s="55" t="str">
        <f>'Созвездия'!B10</f>
        <v/>
      </c>
      <c r="J75" s="55" t="s">
        <v>15</v>
      </c>
      <c r="K75" s="55" t="str">
        <f>'Созвездия'!B10</f>
        <v/>
      </c>
      <c r="L75" s="56" t="s">
        <v>15</v>
      </c>
      <c r="M75" s="57">
        <f t="shared" si="1"/>
        <v>0</v>
      </c>
      <c r="N75" s="58"/>
      <c r="O75" s="58"/>
      <c r="P75" s="61" t="s">
        <v>38</v>
      </c>
      <c r="Q75" s="29"/>
      <c r="R75" s="29"/>
      <c r="S75" s="95" t="s">
        <v>124</v>
      </c>
      <c r="T75" s="60"/>
      <c r="U75" s="79" t="s">
        <v>125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37.5" customHeight="1">
      <c r="A76" s="40">
        <v>71.0</v>
      </c>
      <c r="B76" s="96" t="s">
        <v>122</v>
      </c>
      <c r="C76" s="53" t="s">
        <v>129</v>
      </c>
      <c r="D76" s="54" t="str">
        <f>IMAGE("https://raw.githubusercontent.com/RedCat161/AoM/main/wildelf/wildelf6_200.jpg")</f>
        <v/>
      </c>
      <c r="E76" s="55" t="str">
        <f>'Созвездия'!B11</f>
        <v/>
      </c>
      <c r="F76" s="55" t="s">
        <v>16</v>
      </c>
      <c r="G76" s="55" t="str">
        <f>'Созвездия'!B13</f>
        <v/>
      </c>
      <c r="H76" s="55" t="s">
        <v>18</v>
      </c>
      <c r="I76" s="55" t="str">
        <f>'Созвездия'!B10</f>
        <v/>
      </c>
      <c r="J76" s="55" t="s">
        <v>15</v>
      </c>
      <c r="K76" s="55" t="str">
        <f>'Созвездия'!B10</f>
        <v/>
      </c>
      <c r="L76" s="56" t="s">
        <v>15</v>
      </c>
      <c r="M76" s="57">
        <f t="shared" si="1"/>
        <v>1</v>
      </c>
      <c r="N76" s="58"/>
      <c r="O76" s="29"/>
      <c r="P76" s="58"/>
      <c r="Q76" s="29"/>
      <c r="R76" s="29"/>
      <c r="S76" s="95" t="s">
        <v>124</v>
      </c>
      <c r="T76" s="60"/>
      <c r="U76" s="79" t="s">
        <v>125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37.5" customHeight="1">
      <c r="A77" s="40">
        <v>72.0</v>
      </c>
      <c r="B77" s="96" t="s">
        <v>122</v>
      </c>
      <c r="C77" s="53" t="s">
        <v>130</v>
      </c>
      <c r="D77" s="54" t="str">
        <f>IMAGE("https://raw.githubusercontent.com/RedCat161/AoM/main/wildelf/wildelf1_200.jpg")</f>
        <v/>
      </c>
      <c r="E77" s="55" t="str">
        <f>'Созвездия'!B10</f>
        <v/>
      </c>
      <c r="F77" s="55" t="s">
        <v>15</v>
      </c>
      <c r="G77" s="55" t="str">
        <f>'Созвездия'!B6</f>
        <v/>
      </c>
      <c r="H77" s="55" t="s">
        <v>11</v>
      </c>
      <c r="I77" s="55" t="str">
        <f>'Созвездия'!B11</f>
        <v/>
      </c>
      <c r="J77" s="55" t="s">
        <v>16</v>
      </c>
      <c r="K77" s="55" t="str">
        <f>'Созвездия'!B10</f>
        <v/>
      </c>
      <c r="L77" s="56" t="s">
        <v>15</v>
      </c>
      <c r="M77" s="57">
        <f t="shared" si="1"/>
        <v>1</v>
      </c>
      <c r="N77" s="58"/>
      <c r="O77" s="58"/>
      <c r="P77" s="58"/>
      <c r="Q77" s="29"/>
      <c r="R77" s="69" t="s">
        <v>50</v>
      </c>
      <c r="S77" s="95" t="s">
        <v>124</v>
      </c>
      <c r="T77" s="97" t="s">
        <v>131</v>
      </c>
      <c r="U77" s="79" t="s">
        <v>125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37.5" customHeight="1">
      <c r="A78" s="40">
        <v>73.0</v>
      </c>
      <c r="B78" s="96" t="s">
        <v>122</v>
      </c>
      <c r="C78" s="53" t="s">
        <v>132</v>
      </c>
      <c r="D78" s="54" t="str">
        <f>IMAGE("https://raw.githubusercontent.com/RedCat161/AoM/main/wildelf/wildelf2_200.jpg")</f>
        <v/>
      </c>
      <c r="E78" s="55" t="str">
        <f>'Созвездия'!B6</f>
        <v/>
      </c>
      <c r="F78" s="55" t="s">
        <v>11</v>
      </c>
      <c r="G78" s="55" t="str">
        <f>'Созвездия'!B6</f>
        <v/>
      </c>
      <c r="H78" s="55" t="s">
        <v>11</v>
      </c>
      <c r="I78" s="55" t="str">
        <f>'Созвездия'!B3</f>
        <v/>
      </c>
      <c r="J78" s="55" t="s">
        <v>3</v>
      </c>
      <c r="K78" s="55" t="str">
        <f>'Созвездия'!B6</f>
        <v/>
      </c>
      <c r="L78" s="56" t="s">
        <v>11</v>
      </c>
      <c r="M78" s="57">
        <f t="shared" si="1"/>
        <v>2</v>
      </c>
      <c r="N78" s="58"/>
      <c r="O78" s="29"/>
      <c r="P78" s="58"/>
      <c r="Q78" s="62"/>
      <c r="R78" s="29"/>
      <c r="S78" s="95" t="s">
        <v>124</v>
      </c>
      <c r="T78" s="60"/>
      <c r="U78" s="79" t="s">
        <v>125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37.5" customHeight="1">
      <c r="A79" s="40">
        <v>74.0</v>
      </c>
      <c r="B79" s="96" t="s">
        <v>122</v>
      </c>
      <c r="C79" s="53" t="s">
        <v>133</v>
      </c>
      <c r="D79" s="54" t="str">
        <f>IMAGE("https://raw.githubusercontent.com/RedCat161/AoM/main/wildelf/wildelf4_200.jpg")</f>
        <v/>
      </c>
      <c r="E79" s="55" t="str">
        <f>'Созвездия'!B6</f>
        <v/>
      </c>
      <c r="F79" s="55" t="s">
        <v>11</v>
      </c>
      <c r="G79" s="55" t="str">
        <f>'Созвездия'!B11</f>
        <v/>
      </c>
      <c r="H79" s="55" t="s">
        <v>16</v>
      </c>
      <c r="I79" s="55" t="str">
        <f>'Созвездия'!B2</f>
        <v/>
      </c>
      <c r="J79" s="55" t="s">
        <v>2</v>
      </c>
      <c r="K79" s="55" t="str">
        <f>'Созвездия'!B2</f>
        <v/>
      </c>
      <c r="L79" s="56" t="s">
        <v>2</v>
      </c>
      <c r="M79" s="57">
        <f t="shared" si="1"/>
        <v>1</v>
      </c>
      <c r="N79" s="58"/>
      <c r="O79" s="29"/>
      <c r="P79" s="58"/>
      <c r="Q79" s="29"/>
      <c r="R79" s="29"/>
      <c r="S79" s="95" t="s">
        <v>124</v>
      </c>
      <c r="T79" s="60"/>
      <c r="U79" s="79" t="s">
        <v>125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37.5" customHeight="1">
      <c r="A80" s="40">
        <v>75.0</v>
      </c>
      <c r="B80" s="96" t="s">
        <v>122</v>
      </c>
      <c r="C80" s="53" t="s">
        <v>134</v>
      </c>
      <c r="D80" s="54" t="str">
        <f>IMAGE("https://raw.githubusercontent.com/RedCat161/AoM/main/wildelf/wildelf7_200.jpg")</f>
        <v/>
      </c>
      <c r="E80" s="55" t="str">
        <f>'Созвездия'!B13</f>
        <v/>
      </c>
      <c r="F80" s="55" t="s">
        <v>18</v>
      </c>
      <c r="G80" s="55" t="str">
        <f>'Созвездия'!B8</f>
        <v/>
      </c>
      <c r="H80" s="55" t="s">
        <v>13</v>
      </c>
      <c r="I80" s="55" t="str">
        <f>'Созвездия'!B7</f>
        <v/>
      </c>
      <c r="J80" s="55" t="s">
        <v>12</v>
      </c>
      <c r="K80" s="55" t="str">
        <f>'Созвездия'!B10</f>
        <v/>
      </c>
      <c r="L80" s="56" t="s">
        <v>15</v>
      </c>
      <c r="M80" s="57">
        <f t="shared" si="1"/>
        <v>2</v>
      </c>
      <c r="N80" s="58"/>
      <c r="O80" s="29"/>
      <c r="P80" s="61" t="s">
        <v>38</v>
      </c>
      <c r="Q80" s="29"/>
      <c r="R80" s="69" t="s">
        <v>43</v>
      </c>
      <c r="S80" s="95" t="s">
        <v>124</v>
      </c>
      <c r="T80" s="60"/>
      <c r="U80" s="79" t="s">
        <v>125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37.5" customHeight="1">
      <c r="A81" s="40">
        <v>76.0</v>
      </c>
      <c r="B81" s="98" t="s">
        <v>135</v>
      </c>
      <c r="C81" s="53" t="s">
        <v>136</v>
      </c>
      <c r="D81" s="54" t="str">
        <f>IMAGE("https://raw.githubusercontent.com/RedCat161/AoM/main/Orcs/Orc6_200.jpg")</f>
        <v/>
      </c>
      <c r="E81" s="55" t="str">
        <f>'Созвездия'!B3</f>
        <v/>
      </c>
      <c r="F81" s="55" t="s">
        <v>3</v>
      </c>
      <c r="G81" s="55" t="str">
        <f>'Созвездия'!B8</f>
        <v/>
      </c>
      <c r="H81" s="55" t="s">
        <v>13</v>
      </c>
      <c r="I81" s="55" t="str">
        <f>'Созвездия'!B13</f>
        <v/>
      </c>
      <c r="J81" s="55" t="s">
        <v>18</v>
      </c>
      <c r="K81" s="55" t="str">
        <f>'Созвездия'!B13</f>
        <v/>
      </c>
      <c r="L81" s="56" t="s">
        <v>18</v>
      </c>
      <c r="M81" s="57">
        <f t="shared" si="1"/>
        <v>3</v>
      </c>
      <c r="N81" s="58"/>
      <c r="O81" s="62"/>
      <c r="P81" s="58"/>
      <c r="Q81" s="29"/>
      <c r="R81" s="29"/>
      <c r="S81" s="59"/>
      <c r="T81" s="60"/>
      <c r="U81" s="5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37.5" customHeight="1">
      <c r="A82" s="40">
        <v>77.0</v>
      </c>
      <c r="B82" s="98" t="s">
        <v>135</v>
      </c>
      <c r="C82" s="53" t="s">
        <v>137</v>
      </c>
      <c r="D82" s="54" t="str">
        <f>IMAGE("https://raw.githubusercontent.com/RedCat161/AoM/main/Orcs/Orc2_200.jpg")</f>
        <v/>
      </c>
      <c r="E82" s="55" t="str">
        <f>'Созвездия'!B4</f>
        <v/>
      </c>
      <c r="F82" s="55" t="s">
        <v>8</v>
      </c>
      <c r="G82" s="55" t="str">
        <f>'Созвездия'!B4</f>
        <v/>
      </c>
      <c r="H82" s="55" t="s">
        <v>8</v>
      </c>
      <c r="I82" s="55" t="str">
        <f>'Созвездия'!B8</f>
        <v/>
      </c>
      <c r="J82" s="55" t="s">
        <v>13</v>
      </c>
      <c r="K82" s="55" t="str">
        <f>'Созвездия'!B12</f>
        <v/>
      </c>
      <c r="L82" s="56" t="s">
        <v>17</v>
      </c>
      <c r="M82" s="57">
        <f t="shared" si="1"/>
        <v>1</v>
      </c>
      <c r="N82" s="58"/>
      <c r="O82" s="29"/>
      <c r="P82" s="29"/>
      <c r="Q82" s="29"/>
      <c r="R82" s="29"/>
      <c r="S82" s="59"/>
      <c r="T82" s="60"/>
      <c r="U82" s="99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37.5" customHeight="1">
      <c r="A83" s="40">
        <v>78.0</v>
      </c>
      <c r="B83" s="98" t="s">
        <v>135</v>
      </c>
      <c r="C83" s="53" t="s">
        <v>138</v>
      </c>
      <c r="D83" s="54" t="str">
        <f>IMAGE("https://raw.githubusercontent.com/RedCat161/AoM/main/Orcs/Orc1_200.jpg")</f>
        <v/>
      </c>
      <c r="E83" s="55" t="str">
        <f>'Созвездия'!B9</f>
        <v/>
      </c>
      <c r="F83" s="55" t="s">
        <v>14</v>
      </c>
      <c r="G83" s="55" t="str">
        <f>'Созвездия'!B9</f>
        <v/>
      </c>
      <c r="H83" s="55" t="s">
        <v>14</v>
      </c>
      <c r="I83" s="55" t="str">
        <f>'Созвездия'!B9</f>
        <v/>
      </c>
      <c r="J83" s="55" t="s">
        <v>14</v>
      </c>
      <c r="K83" s="55" t="str">
        <f>'Созвездия'!B5</f>
        <v/>
      </c>
      <c r="L83" s="56" t="s">
        <v>10</v>
      </c>
      <c r="M83" s="57">
        <f t="shared" si="1"/>
        <v>0</v>
      </c>
      <c r="N83" s="58"/>
      <c r="O83" s="58"/>
      <c r="P83" s="58"/>
      <c r="Q83" s="29"/>
      <c r="R83" s="29"/>
      <c r="S83" s="59"/>
      <c r="T83" s="60"/>
      <c r="U83" s="59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37.5" customHeight="1">
      <c r="A84" s="40">
        <v>79.0</v>
      </c>
      <c r="B84" s="98" t="s">
        <v>135</v>
      </c>
      <c r="C84" s="53" t="s">
        <v>139</v>
      </c>
      <c r="D84" s="54" t="str">
        <f>IMAGE("https://raw.githubusercontent.com/RedCat161/AoM/main/Orcs/Orc3_200.jpg")</f>
        <v/>
      </c>
      <c r="E84" s="55" t="str">
        <f>'Созвездия'!B3</f>
        <v/>
      </c>
      <c r="F84" s="55" t="s">
        <v>3</v>
      </c>
      <c r="G84" s="55" t="str">
        <f>'Созвездия'!B11</f>
        <v/>
      </c>
      <c r="H84" s="55" t="s">
        <v>16</v>
      </c>
      <c r="I84" s="55" t="str">
        <f>'Созвездия'!B11</f>
        <v/>
      </c>
      <c r="J84" s="55" t="s">
        <v>16</v>
      </c>
      <c r="K84" s="55" t="str">
        <f>'Созвездия'!B11</f>
        <v/>
      </c>
      <c r="L84" s="56" t="s">
        <v>16</v>
      </c>
      <c r="M84" s="57">
        <f t="shared" si="1"/>
        <v>1</v>
      </c>
      <c r="N84" s="58"/>
      <c r="O84" s="58"/>
      <c r="P84" s="62"/>
      <c r="Q84" s="29"/>
      <c r="R84" s="29"/>
      <c r="S84" s="59"/>
      <c r="T84" s="60"/>
      <c r="U84" s="59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37.5" customHeight="1">
      <c r="A85" s="40">
        <v>80.0</v>
      </c>
      <c r="B85" s="98" t="s">
        <v>135</v>
      </c>
      <c r="C85" s="53" t="s">
        <v>140</v>
      </c>
      <c r="D85" s="54" t="str">
        <f>IMAGE("https://raw.githubusercontent.com/RedCat161/AoM/main/Orcs/Orc4_200.jpg")</f>
        <v/>
      </c>
      <c r="E85" s="55" t="str">
        <f>'Созвездия'!B10</f>
        <v/>
      </c>
      <c r="F85" s="55" t="s">
        <v>15</v>
      </c>
      <c r="G85" s="55" t="str">
        <f>'Созвездия'!B12</f>
        <v/>
      </c>
      <c r="H85" s="55" t="s">
        <v>17</v>
      </c>
      <c r="I85" s="55" t="str">
        <f>'Созвездия'!B13</f>
        <v/>
      </c>
      <c r="J85" s="55" t="s">
        <v>18</v>
      </c>
      <c r="K85" s="55" t="str">
        <f>'Созвездия'!B10</f>
        <v/>
      </c>
      <c r="L85" s="56" t="s">
        <v>15</v>
      </c>
      <c r="M85" s="57">
        <f t="shared" si="1"/>
        <v>1</v>
      </c>
      <c r="N85" s="58"/>
      <c r="O85" s="58"/>
      <c r="P85" s="29"/>
      <c r="Q85" s="29"/>
      <c r="R85" s="29"/>
      <c r="S85" s="59"/>
      <c r="T85" s="60"/>
      <c r="U85" s="59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37.5" customHeight="1">
      <c r="A86" s="40">
        <v>81.0</v>
      </c>
      <c r="B86" s="98" t="s">
        <v>135</v>
      </c>
      <c r="C86" s="53" t="s">
        <v>141</v>
      </c>
      <c r="D86" s="54" t="str">
        <f>IMAGE("https://raw.githubusercontent.com/RedCat161/AoM/main/Orcs/Orc7_200.jpg")</f>
        <v/>
      </c>
      <c r="E86" s="55" t="str">
        <f>'Созвездия'!B12</f>
        <v/>
      </c>
      <c r="F86" s="55" t="s">
        <v>17</v>
      </c>
      <c r="G86" s="55" t="str">
        <f>'Созвездия'!B7</f>
        <v/>
      </c>
      <c r="H86" s="55" t="s">
        <v>12</v>
      </c>
      <c r="I86" s="55" t="str">
        <f>'Созвездия'!B6</f>
        <v/>
      </c>
      <c r="J86" s="55" t="s">
        <v>11</v>
      </c>
      <c r="K86" s="55" t="str">
        <f>'Созвездия'!B11</f>
        <v/>
      </c>
      <c r="L86" s="56" t="s">
        <v>16</v>
      </c>
      <c r="M86" s="57">
        <f t="shared" si="1"/>
        <v>1</v>
      </c>
      <c r="N86" s="58"/>
      <c r="O86" s="29"/>
      <c r="P86" s="58"/>
      <c r="Q86" s="29"/>
      <c r="R86" s="29"/>
      <c r="S86" s="59"/>
      <c r="T86" s="100" t="s">
        <v>50</v>
      </c>
      <c r="U86" s="59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37.5" customHeight="1">
      <c r="A87" s="40">
        <v>82.0</v>
      </c>
      <c r="B87" s="98" t="s">
        <v>135</v>
      </c>
      <c r="C87" s="53" t="s">
        <v>142</v>
      </c>
      <c r="D87" s="54" t="str">
        <f>IMAGE("https://raw.githubusercontent.com/RedCat161/AoM/main/Orcs/Orc5_200.jpg")</f>
        <v/>
      </c>
      <c r="E87" s="55" t="str">
        <f>'Созвездия'!B6</f>
        <v/>
      </c>
      <c r="F87" s="55" t="s">
        <v>11</v>
      </c>
      <c r="G87" s="55" t="str">
        <f>'Созвездия'!B6</f>
        <v/>
      </c>
      <c r="H87" s="55" t="s">
        <v>11</v>
      </c>
      <c r="I87" s="55" t="str">
        <f>'Созвездия'!B2</f>
        <v/>
      </c>
      <c r="J87" s="55" t="s">
        <v>2</v>
      </c>
      <c r="K87" s="55" t="str">
        <f>'Созвездия'!B2</f>
        <v/>
      </c>
      <c r="L87" s="56" t="s">
        <v>2</v>
      </c>
      <c r="M87" s="57">
        <f t="shared" si="1"/>
        <v>1</v>
      </c>
      <c r="N87" s="58"/>
      <c r="O87" s="61" t="s">
        <v>38</v>
      </c>
      <c r="P87" s="61" t="s">
        <v>38</v>
      </c>
      <c r="Q87" s="29"/>
      <c r="R87" s="69" t="s">
        <v>50</v>
      </c>
      <c r="S87" s="59"/>
      <c r="T87" s="60"/>
      <c r="U87" s="59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37.5" customHeight="1">
      <c r="A88" s="40">
        <v>83.0</v>
      </c>
      <c r="B88" s="101" t="s">
        <v>143</v>
      </c>
      <c r="C88" s="53" t="s">
        <v>144</v>
      </c>
      <c r="D88" s="54" t="str">
        <f>IMAGE("https://raw.githubusercontent.com/RedCat161/AoM/main/children/children4_200.jpg")</f>
        <v/>
      </c>
      <c r="E88" s="55" t="str">
        <f>'Созвездия'!B12</f>
        <v/>
      </c>
      <c r="F88" s="55" t="s">
        <v>17</v>
      </c>
      <c r="G88" s="55" t="str">
        <f>'Созвездия'!B12</f>
        <v/>
      </c>
      <c r="H88" s="55" t="s">
        <v>17</v>
      </c>
      <c r="I88" s="55" t="str">
        <f>'Созвездия'!B7</f>
        <v/>
      </c>
      <c r="J88" s="55" t="s">
        <v>12</v>
      </c>
      <c r="K88" s="55" t="str">
        <f>'Созвездия'!B2</f>
        <v/>
      </c>
      <c r="L88" s="55" t="s">
        <v>2</v>
      </c>
      <c r="M88" s="57">
        <f t="shared" si="1"/>
        <v>0</v>
      </c>
      <c r="N88" s="58"/>
      <c r="O88" s="29"/>
      <c r="P88" s="61" t="s">
        <v>38</v>
      </c>
      <c r="Q88" s="29"/>
      <c r="R88" s="29"/>
      <c r="S88" s="59"/>
      <c r="T88" s="60"/>
      <c r="U88" s="102" t="s">
        <v>145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37.5" customHeight="1">
      <c r="A89" s="40">
        <v>84.0</v>
      </c>
      <c r="B89" s="101" t="s">
        <v>143</v>
      </c>
      <c r="C89" s="53" t="s">
        <v>146</v>
      </c>
      <c r="D89" s="54" t="str">
        <f>IMAGE("https://raw.githubusercontent.com/RedCat161/AoM/main/children/children1_200.jpg")</f>
        <v/>
      </c>
      <c r="E89" s="55" t="str">
        <f>'Созвездия'!B12</f>
        <v/>
      </c>
      <c r="F89" s="55" t="s">
        <v>17</v>
      </c>
      <c r="G89" s="55" t="str">
        <f>'Созвездия'!B12</f>
        <v/>
      </c>
      <c r="H89" s="55" t="s">
        <v>17</v>
      </c>
      <c r="I89" s="55" t="str">
        <f>'Созвездия'!B12</f>
        <v/>
      </c>
      <c r="J89" s="55" t="s">
        <v>17</v>
      </c>
      <c r="K89" s="55" t="str">
        <f>'Созвездия'!B11</f>
        <v/>
      </c>
      <c r="L89" s="55" t="s">
        <v>16</v>
      </c>
      <c r="M89" s="57">
        <f t="shared" si="1"/>
        <v>0</v>
      </c>
      <c r="N89" s="58"/>
      <c r="O89" s="29"/>
      <c r="P89" s="29"/>
      <c r="Q89" s="29"/>
      <c r="R89" s="29"/>
      <c r="S89" s="59"/>
      <c r="T89" s="60"/>
      <c r="U89" s="102" t="s">
        <v>145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37.5" customHeight="1">
      <c r="A90" s="40">
        <v>85.0</v>
      </c>
      <c r="B90" s="101" t="s">
        <v>143</v>
      </c>
      <c r="C90" s="53" t="s">
        <v>147</v>
      </c>
      <c r="D90" s="54" t="str">
        <f>IMAGE("https://raw.githubusercontent.com/RedCat161/AoM/main/children/children3_200.jpg")</f>
        <v/>
      </c>
      <c r="E90" s="55" t="str">
        <f>'Созвездия'!B8</f>
        <v/>
      </c>
      <c r="F90" s="55" t="s">
        <v>13</v>
      </c>
      <c r="G90" s="55" t="str">
        <f>'Созвездия'!B7</f>
        <v/>
      </c>
      <c r="H90" s="55" t="s">
        <v>12</v>
      </c>
      <c r="I90" s="55" t="str">
        <f>'Созвездия'!B11</f>
        <v/>
      </c>
      <c r="J90" s="55" t="s">
        <v>16</v>
      </c>
      <c r="K90" s="55" t="str">
        <f>'Созвездия'!B3</f>
        <v/>
      </c>
      <c r="L90" s="56" t="s">
        <v>3</v>
      </c>
      <c r="M90" s="57">
        <f t="shared" si="1"/>
        <v>2</v>
      </c>
      <c r="N90" s="58"/>
      <c r="O90" s="29"/>
      <c r="P90" s="62"/>
      <c r="Q90" s="29"/>
      <c r="R90" s="29"/>
      <c r="S90" s="59"/>
      <c r="T90" s="60"/>
      <c r="U90" s="102" t="s">
        <v>145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37.5" customHeight="1">
      <c r="A91" s="40">
        <v>86.0</v>
      </c>
      <c r="B91" s="101" t="s">
        <v>143</v>
      </c>
      <c r="C91" s="53" t="s">
        <v>148</v>
      </c>
      <c r="D91" s="54" t="str">
        <f>IMAGE("https://raw.githubusercontent.com/RedCat161/AoM/main/children/children6_200.jpg")</f>
        <v/>
      </c>
      <c r="E91" s="55" t="str">
        <f>'Созвездия'!B11</f>
        <v/>
      </c>
      <c r="F91" s="55" t="s">
        <v>16</v>
      </c>
      <c r="G91" s="55" t="str">
        <f>'Созвездия'!B11</f>
        <v/>
      </c>
      <c r="H91" s="55" t="s">
        <v>16</v>
      </c>
      <c r="I91" s="55" t="str">
        <f>'Созвездия'!B11</f>
        <v/>
      </c>
      <c r="J91" s="55" t="s">
        <v>16</v>
      </c>
      <c r="K91" s="55" t="str">
        <f>'Созвездия'!B10</f>
        <v/>
      </c>
      <c r="L91" s="56" t="s">
        <v>15</v>
      </c>
      <c r="M91" s="57">
        <f t="shared" si="1"/>
        <v>0</v>
      </c>
      <c r="N91" s="58"/>
      <c r="O91" s="58"/>
      <c r="P91" s="58"/>
      <c r="Q91" s="29"/>
      <c r="R91" s="29"/>
      <c r="S91" s="59"/>
      <c r="T91" s="97" t="s">
        <v>149</v>
      </c>
      <c r="U91" s="102" t="s">
        <v>145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37.5" customHeight="1">
      <c r="A92" s="40">
        <v>87.0</v>
      </c>
      <c r="B92" s="101" t="s">
        <v>143</v>
      </c>
      <c r="C92" s="53" t="s">
        <v>150</v>
      </c>
      <c r="D92" s="54" t="str">
        <f>IMAGE("https://raw.githubusercontent.com/RedCat161/AoM/main/children/children7_200.jpg")</f>
        <v/>
      </c>
      <c r="E92" s="55" t="str">
        <f>'Созвездия'!B11</f>
        <v/>
      </c>
      <c r="F92" s="55" t="s">
        <v>16</v>
      </c>
      <c r="G92" s="55" t="str">
        <f>'Созвездия'!B5</f>
        <v/>
      </c>
      <c r="H92" s="55" t="s">
        <v>10</v>
      </c>
      <c r="I92" s="55" t="str">
        <f>'Созвездия'!B10</f>
        <v/>
      </c>
      <c r="J92" s="55" t="s">
        <v>15</v>
      </c>
      <c r="K92" s="55" t="str">
        <f>'Созвездия'!B10</f>
        <v/>
      </c>
      <c r="L92" s="56" t="s">
        <v>15</v>
      </c>
      <c r="M92" s="57">
        <f t="shared" si="1"/>
        <v>0</v>
      </c>
      <c r="N92" s="58"/>
      <c r="O92" s="58"/>
      <c r="P92" s="58"/>
      <c r="Q92" s="29"/>
      <c r="R92" s="29"/>
      <c r="S92" s="59"/>
      <c r="T92" s="60"/>
      <c r="U92" s="102" t="s">
        <v>145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37.5" customHeight="1">
      <c r="A93" s="40">
        <v>88.0</v>
      </c>
      <c r="B93" s="101" t="s">
        <v>143</v>
      </c>
      <c r="C93" s="53" t="s">
        <v>151</v>
      </c>
      <c r="D93" s="54" t="str">
        <f>IMAGE("https://raw.githubusercontent.com/RedCat161/AoM/main/children/children2_200.jpg")</f>
        <v/>
      </c>
      <c r="E93" s="55" t="str">
        <f>'Созвездия'!B10</f>
        <v/>
      </c>
      <c r="F93" s="55" t="s">
        <v>15</v>
      </c>
      <c r="G93" s="55" t="str">
        <f>'Созвездия'!B2</f>
        <v/>
      </c>
      <c r="H93" s="55" t="s">
        <v>2</v>
      </c>
      <c r="I93" s="55" t="str">
        <f>'Созвездия'!B2</f>
        <v/>
      </c>
      <c r="J93" s="55" t="s">
        <v>2</v>
      </c>
      <c r="K93" s="55" t="str">
        <f>'Созвездия'!B10</f>
        <v/>
      </c>
      <c r="L93" s="56" t="s">
        <v>15</v>
      </c>
      <c r="M93" s="57">
        <f t="shared" si="1"/>
        <v>0</v>
      </c>
      <c r="N93" s="58"/>
      <c r="O93" s="61" t="s">
        <v>38</v>
      </c>
      <c r="P93" s="58"/>
      <c r="Q93" s="29"/>
      <c r="R93" s="69" t="s">
        <v>152</v>
      </c>
      <c r="S93" s="59"/>
      <c r="T93" s="97" t="s">
        <v>153</v>
      </c>
      <c r="U93" s="59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37.5" customHeight="1">
      <c r="A94" s="40">
        <v>89.0</v>
      </c>
      <c r="B94" s="101" t="s">
        <v>143</v>
      </c>
      <c r="C94" s="53" t="s">
        <v>154</v>
      </c>
      <c r="D94" s="54" t="str">
        <f>IMAGE("https://raw.githubusercontent.com/RedCat161/AoM/main/children/children5_200.jpg")</f>
        <v/>
      </c>
      <c r="E94" s="55" t="str">
        <f>'Созвездия'!B13</f>
        <v/>
      </c>
      <c r="F94" s="55" t="s">
        <v>18</v>
      </c>
      <c r="G94" s="55" t="str">
        <f>'Созвездия'!B7</f>
        <v/>
      </c>
      <c r="H94" s="55" t="s">
        <v>12</v>
      </c>
      <c r="I94" s="55" t="str">
        <f>'Созвездия'!B10</f>
        <v/>
      </c>
      <c r="J94" s="55" t="s">
        <v>15</v>
      </c>
      <c r="K94" s="55" t="str">
        <f>'Созвездия'!B10</f>
        <v/>
      </c>
      <c r="L94" s="56" t="s">
        <v>15</v>
      </c>
      <c r="M94" s="57">
        <f t="shared" si="1"/>
        <v>1</v>
      </c>
      <c r="N94" s="58"/>
      <c r="O94" s="61" t="s">
        <v>38</v>
      </c>
      <c r="P94" s="58"/>
      <c r="Q94" s="29"/>
      <c r="R94" s="69" t="s">
        <v>50</v>
      </c>
      <c r="S94" s="71" t="s">
        <v>155</v>
      </c>
      <c r="T94" s="60"/>
      <c r="U94" s="102" t="s">
        <v>145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37.5" customHeight="1">
      <c r="A95" s="40">
        <v>90.0</v>
      </c>
      <c r="B95" s="103" t="s">
        <v>156</v>
      </c>
      <c r="C95" s="53" t="s">
        <v>157</v>
      </c>
      <c r="D95" s="54" t="str">
        <f>IMAGE("https://raw.githubusercontent.com/RedCat161/AoM/main/knights/knight3_200.jpg")</f>
        <v/>
      </c>
      <c r="E95" s="55" t="str">
        <f>'Созвездия'!B6</f>
        <v/>
      </c>
      <c r="F95" s="55" t="s">
        <v>11</v>
      </c>
      <c r="G95" s="55" t="str">
        <f>'Созвездия'!B6</f>
        <v/>
      </c>
      <c r="H95" s="55" t="s">
        <v>11</v>
      </c>
      <c r="I95" s="55" t="str">
        <f>'Созвездия'!B4</f>
        <v/>
      </c>
      <c r="J95" s="55" t="s">
        <v>8</v>
      </c>
      <c r="K95" s="55" t="str">
        <f>'Созвездия'!B8</f>
        <v/>
      </c>
      <c r="L95" s="56" t="s">
        <v>13</v>
      </c>
      <c r="M95" s="57">
        <f t="shared" si="1"/>
        <v>2</v>
      </c>
      <c r="N95" s="58"/>
      <c r="O95" s="29"/>
      <c r="P95" s="62"/>
      <c r="Q95" s="29"/>
      <c r="R95" s="29"/>
      <c r="S95" s="59"/>
      <c r="T95" s="60"/>
      <c r="U95" s="59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37.5" customHeight="1">
      <c r="A96" s="40">
        <v>91.0</v>
      </c>
      <c r="B96" s="103" t="s">
        <v>156</v>
      </c>
      <c r="C96" s="53" t="s">
        <v>158</v>
      </c>
      <c r="D96" s="54" t="str">
        <f>IMAGE("https://raw.githubusercontent.com/RedCat161/AoM/main/knights/knight7_200.jpg")</f>
        <v/>
      </c>
      <c r="E96" s="55" t="str">
        <f>'Созвездия'!B4</f>
        <v/>
      </c>
      <c r="F96" s="55" t="s">
        <v>8</v>
      </c>
      <c r="G96" s="55" t="str">
        <f>'Созвездия'!B8</f>
        <v/>
      </c>
      <c r="H96" s="55" t="s">
        <v>13</v>
      </c>
      <c r="I96" s="55" t="str">
        <f>'Созвездия'!B13</f>
        <v/>
      </c>
      <c r="J96" s="55" t="s">
        <v>18</v>
      </c>
      <c r="K96" s="55" t="str">
        <f>'Созвездия'!B4</f>
        <v/>
      </c>
      <c r="L96" s="56" t="s">
        <v>8</v>
      </c>
      <c r="M96" s="57">
        <f t="shared" si="1"/>
        <v>2</v>
      </c>
      <c r="N96" s="58"/>
      <c r="O96" s="29"/>
      <c r="P96" s="62"/>
      <c r="Q96" s="29"/>
      <c r="R96" s="29"/>
      <c r="S96" s="59"/>
      <c r="T96" s="60"/>
      <c r="U96" s="59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37.5" customHeight="1">
      <c r="A97" s="40">
        <v>92.0</v>
      </c>
      <c r="B97" s="103" t="s">
        <v>156</v>
      </c>
      <c r="C97" s="53" t="s">
        <v>159</v>
      </c>
      <c r="D97" s="54" t="str">
        <f>IMAGE("https://raw.githubusercontent.com/RedCat161/AoM/main/knights/knight1_200.jpg")</f>
        <v/>
      </c>
      <c r="E97" s="55" t="str">
        <f>'Созвездия'!B2</f>
        <v/>
      </c>
      <c r="F97" s="55" t="s">
        <v>2</v>
      </c>
      <c r="G97" s="55" t="str">
        <f>'Созвездия'!B12</f>
        <v/>
      </c>
      <c r="H97" s="55" t="s">
        <v>17</v>
      </c>
      <c r="I97" s="55" t="str">
        <f>'Созвездия'!B6</f>
        <v/>
      </c>
      <c r="J97" s="55" t="s">
        <v>11</v>
      </c>
      <c r="K97" s="55" t="str">
        <f>'Созвездия'!B12</f>
        <v/>
      </c>
      <c r="L97" s="56" t="s">
        <v>17</v>
      </c>
      <c r="M97" s="57">
        <f t="shared" si="1"/>
        <v>1</v>
      </c>
      <c r="N97" s="58"/>
      <c r="O97" s="58"/>
      <c r="P97" s="29"/>
      <c r="Q97" s="29"/>
      <c r="R97" s="29"/>
      <c r="S97" s="59"/>
      <c r="T97" s="60"/>
      <c r="U97" s="59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37.5" customHeight="1">
      <c r="A98" s="40">
        <v>93.0</v>
      </c>
      <c r="B98" s="103" t="s">
        <v>156</v>
      </c>
      <c r="C98" s="53" t="s">
        <v>160</v>
      </c>
      <c r="D98" s="54" t="str">
        <f>IMAGE("https://raw.githubusercontent.com/RedCat161/AoM/main/knights/knight5_200.jpg")</f>
        <v/>
      </c>
      <c r="E98" s="55" t="str">
        <f>'Созвездия'!B8</f>
        <v/>
      </c>
      <c r="F98" s="55" t="s">
        <v>13</v>
      </c>
      <c r="G98" s="55" t="str">
        <f>'Созвездия'!B12</f>
        <v/>
      </c>
      <c r="H98" s="55" t="s">
        <v>17</v>
      </c>
      <c r="I98" s="55" t="str">
        <f>'Созвездия'!B13</f>
        <v/>
      </c>
      <c r="J98" s="55" t="s">
        <v>18</v>
      </c>
      <c r="K98" s="55" t="str">
        <f>'Созвездия'!B13</f>
        <v/>
      </c>
      <c r="L98" s="56" t="s">
        <v>18</v>
      </c>
      <c r="M98" s="57">
        <f t="shared" si="1"/>
        <v>2</v>
      </c>
      <c r="N98" s="58"/>
      <c r="O98" s="29"/>
      <c r="P98" s="29"/>
      <c r="Q98" s="29"/>
      <c r="R98" s="29"/>
      <c r="S98" s="59"/>
      <c r="T98" s="60"/>
      <c r="U98" s="59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37.5" customHeight="1">
      <c r="A99" s="40">
        <v>94.0</v>
      </c>
      <c r="B99" s="103" t="s">
        <v>156</v>
      </c>
      <c r="C99" s="53" t="s">
        <v>161</v>
      </c>
      <c r="D99" s="54" t="str">
        <f>IMAGE("https://raw.githubusercontent.com/RedCat161/AoM/main/knights/knight6_200.jpg")</f>
        <v/>
      </c>
      <c r="E99" s="55" t="str">
        <f>'Созвездия'!B4</f>
        <v/>
      </c>
      <c r="F99" s="55" t="s">
        <v>8</v>
      </c>
      <c r="G99" s="55" t="str">
        <f>'Созвездия'!B13</f>
        <v/>
      </c>
      <c r="H99" s="55" t="s">
        <v>18</v>
      </c>
      <c r="I99" s="55" t="str">
        <f>'Созвездия'!B2</f>
        <v/>
      </c>
      <c r="J99" s="55" t="s">
        <v>2</v>
      </c>
      <c r="K99" s="55" t="str">
        <f>'Созвездия'!B4</f>
        <v/>
      </c>
      <c r="L99" s="56" t="s">
        <v>8</v>
      </c>
      <c r="M99" s="57">
        <f t="shared" si="1"/>
        <v>1</v>
      </c>
      <c r="N99" s="58"/>
      <c r="O99" s="58"/>
      <c r="P99" s="58"/>
      <c r="Q99" s="29"/>
      <c r="R99" s="29"/>
      <c r="S99" s="59"/>
      <c r="T99" s="60"/>
      <c r="U99" s="5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37.5" customHeight="1">
      <c r="A100" s="40">
        <v>95.0</v>
      </c>
      <c r="B100" s="103" t="s">
        <v>156</v>
      </c>
      <c r="C100" s="53" t="s">
        <v>162</v>
      </c>
      <c r="D100" s="54" t="str">
        <f>IMAGE("https://raw.githubusercontent.com/RedCat161/AoM/main/knights/knight4_200.jpg")</f>
        <v/>
      </c>
      <c r="E100" s="55" t="str">
        <f>'Созвездия'!B10</f>
        <v/>
      </c>
      <c r="F100" s="55" t="s">
        <v>15</v>
      </c>
      <c r="G100" s="55" t="str">
        <f>'Созвездия'!B4</f>
        <v/>
      </c>
      <c r="H100" s="55" t="s">
        <v>8</v>
      </c>
      <c r="I100" s="55" t="str">
        <f>'Созвездия'!B7</f>
        <v/>
      </c>
      <c r="J100" s="55" t="s">
        <v>12</v>
      </c>
      <c r="K100" s="55" t="str">
        <f>'Созвездия'!B4</f>
        <v/>
      </c>
      <c r="L100" s="56" t="s">
        <v>8</v>
      </c>
      <c r="M100" s="57">
        <f t="shared" si="1"/>
        <v>0</v>
      </c>
      <c r="N100" s="58"/>
      <c r="O100" s="29"/>
      <c r="P100" s="58"/>
      <c r="Q100" s="29"/>
      <c r="R100" s="29"/>
      <c r="S100" s="59"/>
      <c r="T100" s="97" t="s">
        <v>163</v>
      </c>
      <c r="U100" s="5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37.5" customHeight="1">
      <c r="A101" s="40">
        <v>96.0</v>
      </c>
      <c r="B101" s="103" t="s">
        <v>156</v>
      </c>
      <c r="C101" s="53" t="s">
        <v>164</v>
      </c>
      <c r="D101" s="54" t="str">
        <f>IMAGE("https://raw.githubusercontent.com/RedCat161/AoM/main/knights/knight2_200.jpg")</f>
        <v/>
      </c>
      <c r="E101" s="55" t="str">
        <f>'Созвездия'!B10</f>
        <v/>
      </c>
      <c r="F101" s="55" t="s">
        <v>15</v>
      </c>
      <c r="G101" s="55" t="str">
        <f>'Созвездия'!B8</f>
        <v/>
      </c>
      <c r="H101" s="55" t="s">
        <v>13</v>
      </c>
      <c r="I101" s="55" t="str">
        <f>'Созвездия'!B8</f>
        <v/>
      </c>
      <c r="J101" s="55" t="s">
        <v>13</v>
      </c>
      <c r="K101" s="55" t="str">
        <f>'Созвездия'!B10</f>
        <v/>
      </c>
      <c r="L101" s="56" t="s">
        <v>15</v>
      </c>
      <c r="M101" s="57">
        <f t="shared" si="1"/>
        <v>1</v>
      </c>
      <c r="N101" s="58"/>
      <c r="O101" s="29"/>
      <c r="P101" s="58"/>
      <c r="Q101" s="29"/>
      <c r="R101" s="29"/>
      <c r="S101" s="59"/>
      <c r="T101" s="60"/>
      <c r="U101" s="5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37.5" customHeight="1">
      <c r="A102" s="40">
        <v>97.0</v>
      </c>
      <c r="B102" s="104" t="s">
        <v>165</v>
      </c>
      <c r="C102" s="53" t="s">
        <v>166</v>
      </c>
      <c r="D102" s="54" t="str">
        <f>IMAGE("https://raw.githubusercontent.com/RedCat161/AoM/main/Velf/Velf3_200.jpg")</f>
        <v/>
      </c>
      <c r="E102" s="55" t="str">
        <f>'Созвездия'!B3</f>
        <v/>
      </c>
      <c r="F102" s="55" t="s">
        <v>3</v>
      </c>
      <c r="G102" s="55" t="str">
        <f>'Созвездия'!B5</f>
        <v/>
      </c>
      <c r="H102" s="55" t="s">
        <v>10</v>
      </c>
      <c r="I102" s="55" t="str">
        <f>'Созвездия'!B5</f>
        <v/>
      </c>
      <c r="J102" s="55" t="s">
        <v>10</v>
      </c>
      <c r="K102" s="55" t="str">
        <f>'Созвездия'!B6</f>
        <v/>
      </c>
      <c r="L102" s="56" t="s">
        <v>11</v>
      </c>
      <c r="M102" s="57">
        <f t="shared" si="1"/>
        <v>2</v>
      </c>
      <c r="N102" s="58"/>
      <c r="O102" s="58"/>
      <c r="P102" s="62"/>
      <c r="Q102" s="29"/>
      <c r="R102" s="29"/>
      <c r="S102" s="95" t="s">
        <v>167</v>
      </c>
      <c r="T102" s="60"/>
      <c r="U102" s="5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37.5" customHeight="1">
      <c r="A103" s="40">
        <v>98.0</v>
      </c>
      <c r="B103" s="104" t="s">
        <v>165</v>
      </c>
      <c r="C103" s="53" t="s">
        <v>168</v>
      </c>
      <c r="D103" s="54" t="str">
        <f>IMAGE("https://raw.githubusercontent.com/RedCat161/AoM/main/Velf/Velf4_200.jpg")</f>
        <v/>
      </c>
      <c r="E103" s="55" t="str">
        <f>'Созвездия'!B10</f>
        <v/>
      </c>
      <c r="F103" s="55" t="s">
        <v>15</v>
      </c>
      <c r="G103" s="55" t="str">
        <f>'Созвездия'!B10</f>
        <v/>
      </c>
      <c r="H103" s="55" t="s">
        <v>15</v>
      </c>
      <c r="I103" s="55" t="str">
        <f>'Созвездия'!B10</f>
        <v/>
      </c>
      <c r="J103" s="55" t="s">
        <v>15</v>
      </c>
      <c r="K103" s="55" t="str">
        <f>'Созвездия'!B5</f>
        <v/>
      </c>
      <c r="L103" s="56" t="s">
        <v>10</v>
      </c>
      <c r="M103" s="57">
        <f t="shared" si="1"/>
        <v>0</v>
      </c>
      <c r="N103" s="58"/>
      <c r="O103" s="61" t="s">
        <v>38</v>
      </c>
      <c r="P103" s="61" t="s">
        <v>38</v>
      </c>
      <c r="Q103" s="29"/>
      <c r="R103" s="29"/>
      <c r="S103" s="95" t="s">
        <v>167</v>
      </c>
      <c r="T103" s="60"/>
      <c r="U103" s="5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37.5" customHeight="1">
      <c r="A104" s="40">
        <v>99.0</v>
      </c>
      <c r="B104" s="104" t="s">
        <v>165</v>
      </c>
      <c r="C104" s="53" t="s">
        <v>169</v>
      </c>
      <c r="D104" s="105" t="str">
        <f>IMAGE("https://raw.githubusercontent.com/RedCat161/AoM/main/Velf/Velf1_200.jpg")</f>
        <v/>
      </c>
      <c r="E104" s="55" t="str">
        <f>'Созвездия'!B5</f>
        <v/>
      </c>
      <c r="F104" s="55" t="s">
        <v>10</v>
      </c>
      <c r="G104" s="55" t="str">
        <f>'Созвездия'!B11</f>
        <v/>
      </c>
      <c r="H104" s="55" t="s">
        <v>16</v>
      </c>
      <c r="I104" s="55" t="str">
        <f>'Созвездия'!B11</f>
        <v/>
      </c>
      <c r="J104" s="55" t="s">
        <v>16</v>
      </c>
      <c r="K104" s="55" t="str">
        <f>'Созвездия'!B7</f>
        <v/>
      </c>
      <c r="L104" s="56" t="s">
        <v>12</v>
      </c>
      <c r="M104" s="57">
        <f t="shared" si="1"/>
        <v>0</v>
      </c>
      <c r="N104" s="58"/>
      <c r="O104" s="62"/>
      <c r="P104" s="29"/>
      <c r="Q104" s="29"/>
      <c r="R104" s="29"/>
      <c r="S104" s="95" t="s">
        <v>167</v>
      </c>
      <c r="T104" s="60"/>
      <c r="U104" s="5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37.5" customHeight="1">
      <c r="A105" s="40">
        <v>100.0</v>
      </c>
      <c r="B105" s="104" t="s">
        <v>165</v>
      </c>
      <c r="C105" s="53" t="s">
        <v>170</v>
      </c>
      <c r="D105" s="54" t="str">
        <f>IMAGE("https://raw.githubusercontent.com/RedCat161/AoM/main/Velf/Velf6_200.jpg")</f>
        <v/>
      </c>
      <c r="E105" s="55" t="str">
        <f>'Созвездия'!B8</f>
        <v/>
      </c>
      <c r="F105" s="55" t="s">
        <v>13</v>
      </c>
      <c r="G105" s="55" t="str">
        <f>'Созвездия'!B8</f>
        <v/>
      </c>
      <c r="H105" s="55" t="s">
        <v>13</v>
      </c>
      <c r="I105" s="55" t="str">
        <f>'Созвездия'!B13</f>
        <v/>
      </c>
      <c r="J105" s="55" t="s">
        <v>18</v>
      </c>
      <c r="K105" s="55" t="str">
        <f>'Созвездия'!B2</f>
        <v/>
      </c>
      <c r="L105" s="56" t="s">
        <v>2</v>
      </c>
      <c r="M105" s="57">
        <f t="shared" si="1"/>
        <v>2</v>
      </c>
      <c r="N105" s="58"/>
      <c r="O105" s="29"/>
      <c r="P105" s="29"/>
      <c r="Q105" s="29"/>
      <c r="R105" s="29"/>
      <c r="S105" s="95" t="s">
        <v>167</v>
      </c>
      <c r="T105" s="60"/>
      <c r="U105" s="5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37.5" customHeight="1">
      <c r="A106" s="40">
        <v>101.0</v>
      </c>
      <c r="B106" s="104" t="s">
        <v>165</v>
      </c>
      <c r="C106" s="53" t="s">
        <v>171</v>
      </c>
      <c r="D106" s="54" t="str">
        <f>IMAGE("https://raw.githubusercontent.com/RedCat161/AoM/main/Velf/Velf2_200.jpg")</f>
        <v/>
      </c>
      <c r="E106" s="55" t="str">
        <f>'Созвездия'!B13</f>
        <v/>
      </c>
      <c r="F106" s="55" t="s">
        <v>18</v>
      </c>
      <c r="G106" s="55" t="str">
        <f>'Созвездия'!B13</f>
        <v/>
      </c>
      <c r="H106" s="55" t="s">
        <v>18</v>
      </c>
      <c r="I106" s="55" t="str">
        <f>'Созвездия'!B10</f>
        <v/>
      </c>
      <c r="J106" s="55" t="s">
        <v>15</v>
      </c>
      <c r="K106" s="55" t="str">
        <f>'Созвездия'!B10</f>
        <v/>
      </c>
      <c r="L106" s="56" t="s">
        <v>15</v>
      </c>
      <c r="M106" s="57">
        <f t="shared" si="1"/>
        <v>1</v>
      </c>
      <c r="N106" s="58"/>
      <c r="O106" s="29"/>
      <c r="P106" s="58"/>
      <c r="Q106" s="29"/>
      <c r="R106" s="29"/>
      <c r="S106" s="95" t="s">
        <v>167</v>
      </c>
      <c r="T106" s="100" t="s">
        <v>50</v>
      </c>
      <c r="U106" s="102" t="s">
        <v>172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37.5" customHeight="1">
      <c r="A107" s="40">
        <v>102.0</v>
      </c>
      <c r="B107" s="104" t="s">
        <v>165</v>
      </c>
      <c r="C107" s="53" t="s">
        <v>173</v>
      </c>
      <c r="D107" s="54" t="str">
        <f>IMAGE("https://raw.githubusercontent.com/RedCat161/AoM/main/Velf/Velf7_200.jpg")</f>
        <v/>
      </c>
      <c r="E107" s="55" t="str">
        <f>'Созвездия'!B10</f>
        <v/>
      </c>
      <c r="F107" s="55" t="s">
        <v>15</v>
      </c>
      <c r="G107" s="55" t="str">
        <f>'Созвездия'!B5</f>
        <v/>
      </c>
      <c r="H107" s="55" t="s">
        <v>10</v>
      </c>
      <c r="I107" s="55" t="str">
        <f>'Созвездия'!B5</f>
        <v/>
      </c>
      <c r="J107" s="55" t="s">
        <v>10</v>
      </c>
      <c r="K107" s="55" t="str">
        <f>'Созвездия'!B2</f>
        <v/>
      </c>
      <c r="L107" s="56" t="s">
        <v>2</v>
      </c>
      <c r="M107" s="57">
        <f t="shared" si="1"/>
        <v>0</v>
      </c>
      <c r="N107" s="58"/>
      <c r="O107" s="58"/>
      <c r="P107" s="62"/>
      <c r="Q107" s="29"/>
      <c r="R107" s="29"/>
      <c r="S107" s="95" t="s">
        <v>167</v>
      </c>
      <c r="T107" s="60"/>
      <c r="U107" s="5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37.5" customHeight="1">
      <c r="A108" s="40">
        <v>103.0</v>
      </c>
      <c r="B108" s="104" t="s">
        <v>165</v>
      </c>
      <c r="C108" s="53" t="s">
        <v>174</v>
      </c>
      <c r="D108" s="54" t="str">
        <f>IMAGE("https://raw.githubusercontent.com/RedCat161/AoM/main/Velf/Velf5_200.jpg")</f>
        <v/>
      </c>
      <c r="E108" s="55" t="str">
        <f>'Созвездия'!B7</f>
        <v/>
      </c>
      <c r="F108" s="55" t="s">
        <v>12</v>
      </c>
      <c r="G108" s="55" t="str">
        <f>'Созвездия'!B7</f>
        <v/>
      </c>
      <c r="H108" s="55" t="s">
        <v>12</v>
      </c>
      <c r="I108" s="55" t="str">
        <f>'Созвездия'!B7</f>
        <v/>
      </c>
      <c r="J108" s="55" t="s">
        <v>12</v>
      </c>
      <c r="K108" s="55" t="str">
        <f>'Созвездия'!B6</f>
        <v/>
      </c>
      <c r="L108" s="56" t="s">
        <v>11</v>
      </c>
      <c r="M108" s="57">
        <f t="shared" si="1"/>
        <v>1</v>
      </c>
      <c r="N108" s="58"/>
      <c r="O108" s="58"/>
      <c r="P108" s="29"/>
      <c r="Q108" s="29"/>
      <c r="R108" s="29"/>
      <c r="S108" s="95" t="s">
        <v>167</v>
      </c>
      <c r="T108" s="60"/>
      <c r="U108" s="5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37.5" customHeight="1">
      <c r="A109" s="40">
        <v>104.0</v>
      </c>
      <c r="B109" s="106" t="s">
        <v>175</v>
      </c>
      <c r="C109" s="53" t="s">
        <v>176</v>
      </c>
      <c r="D109" s="54" t="str">
        <f>IMAGE("https://raw.githubusercontent.com/RedCat161/AoM/main/Telf/Telf6_200.jpg")</f>
        <v/>
      </c>
      <c r="E109" s="55" t="str">
        <f>'Созвездия'!B6</f>
        <v/>
      </c>
      <c r="F109" s="55" t="s">
        <v>11</v>
      </c>
      <c r="G109" s="55" t="str">
        <f>'Созвездия'!B11</f>
        <v/>
      </c>
      <c r="H109" s="55" t="s">
        <v>16</v>
      </c>
      <c r="I109" s="55" t="str">
        <f>'Созвездия'!B13</f>
        <v/>
      </c>
      <c r="J109" s="55" t="s">
        <v>18</v>
      </c>
      <c r="K109" s="55" t="str">
        <f>'Созвездия'!B2</f>
        <v/>
      </c>
      <c r="L109" s="56" t="s">
        <v>2</v>
      </c>
      <c r="M109" s="57">
        <f t="shared" si="1"/>
        <v>2</v>
      </c>
      <c r="N109" s="58"/>
      <c r="O109" s="29"/>
      <c r="P109" s="29"/>
      <c r="Q109" s="58"/>
      <c r="R109" s="29"/>
      <c r="S109" s="59"/>
      <c r="T109" s="60"/>
      <c r="U109" s="5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37.5" customHeight="1">
      <c r="A110" s="40">
        <v>105.0</v>
      </c>
      <c r="B110" s="106" t="s">
        <v>175</v>
      </c>
      <c r="C110" s="53" t="s">
        <v>177</v>
      </c>
      <c r="D110" s="54" t="str">
        <f>IMAGE("https://raw.githubusercontent.com/RedCat161/AoM/main/Telf/Telf7_200.jpg")</f>
        <v/>
      </c>
      <c r="E110" s="55" t="str">
        <f>'Созвездия'!B8</f>
        <v/>
      </c>
      <c r="F110" s="55" t="s">
        <v>13</v>
      </c>
      <c r="G110" s="55" t="str">
        <f>'Созвездия'!B12</f>
        <v/>
      </c>
      <c r="H110" s="55" t="s">
        <v>17</v>
      </c>
      <c r="I110" s="55" t="str">
        <f>'Созвездия'!B12</f>
        <v/>
      </c>
      <c r="J110" s="55" t="s">
        <v>17</v>
      </c>
      <c r="K110" s="55" t="str">
        <f>'Созвездия'!B5</f>
        <v/>
      </c>
      <c r="L110" s="56" t="s">
        <v>10</v>
      </c>
      <c r="M110" s="57">
        <f t="shared" si="1"/>
        <v>1</v>
      </c>
      <c r="N110" s="58"/>
      <c r="O110" s="58"/>
      <c r="P110" s="29"/>
      <c r="Q110" s="29"/>
      <c r="R110" s="29"/>
      <c r="S110" s="71" t="s">
        <v>178</v>
      </c>
      <c r="T110" s="60"/>
      <c r="U110" s="5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37.5" customHeight="1">
      <c r="A111" s="40">
        <v>106.0</v>
      </c>
      <c r="B111" s="106" t="s">
        <v>175</v>
      </c>
      <c r="C111" s="53" t="s">
        <v>179</v>
      </c>
      <c r="D111" s="54" t="str">
        <f>IMAGE("https://raw.githubusercontent.com/RedCat161/AoM/main/Telf/Telf4_200.jpg")</f>
        <v/>
      </c>
      <c r="E111" s="55" t="str">
        <f>'Созвездия'!B8</f>
        <v/>
      </c>
      <c r="F111" s="55" t="s">
        <v>13</v>
      </c>
      <c r="G111" s="55" t="str">
        <f>'Созвездия'!B8</f>
        <v/>
      </c>
      <c r="H111" s="55" t="s">
        <v>13</v>
      </c>
      <c r="I111" s="55" t="str">
        <f>'Созвездия'!B6</f>
        <v/>
      </c>
      <c r="J111" s="55" t="s">
        <v>11</v>
      </c>
      <c r="K111" s="55" t="str">
        <f>'Созвездия'!B13</f>
        <v/>
      </c>
      <c r="L111" s="56" t="s">
        <v>18</v>
      </c>
      <c r="M111" s="57">
        <f t="shared" si="1"/>
        <v>3</v>
      </c>
      <c r="N111" s="58"/>
      <c r="O111" s="58"/>
      <c r="P111" s="29"/>
      <c r="Q111" s="29"/>
      <c r="R111" s="29"/>
      <c r="S111" s="71" t="s">
        <v>178</v>
      </c>
      <c r="T111" s="60"/>
      <c r="U111" s="5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37.5" customHeight="1">
      <c r="A112" s="40">
        <v>107.0</v>
      </c>
      <c r="B112" s="106" t="s">
        <v>175</v>
      </c>
      <c r="C112" s="53" t="s">
        <v>180</v>
      </c>
      <c r="D112" s="54" t="str">
        <f>IMAGE("https://raw.githubusercontent.com/RedCat161/AoM/main/Telf/Telf5_200.jpg")</f>
        <v/>
      </c>
      <c r="E112" s="55" t="str">
        <f>'Созвездия'!B9</f>
        <v/>
      </c>
      <c r="F112" s="55" t="s">
        <v>14</v>
      </c>
      <c r="G112" s="55" t="str">
        <f>'Созвездия'!B9</f>
        <v/>
      </c>
      <c r="H112" s="55" t="s">
        <v>14</v>
      </c>
      <c r="I112" s="55" t="str">
        <f>'Созвездия'!B11</f>
        <v/>
      </c>
      <c r="J112" s="55" t="s">
        <v>16</v>
      </c>
      <c r="K112" s="55" t="str">
        <f>'Созвездия'!B2</f>
        <v/>
      </c>
      <c r="L112" s="56" t="s">
        <v>2</v>
      </c>
      <c r="M112" s="57">
        <f t="shared" si="1"/>
        <v>0</v>
      </c>
      <c r="N112" s="58"/>
      <c r="O112" s="61" t="s">
        <v>38</v>
      </c>
      <c r="P112" s="62"/>
      <c r="Q112" s="29"/>
      <c r="R112" s="69" t="s">
        <v>50</v>
      </c>
      <c r="S112" s="71" t="s">
        <v>178</v>
      </c>
      <c r="T112" s="60"/>
      <c r="U112" s="5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37.5" customHeight="1">
      <c r="A113" s="40">
        <v>108.0</v>
      </c>
      <c r="B113" s="106" t="s">
        <v>175</v>
      </c>
      <c r="C113" s="53" t="s">
        <v>181</v>
      </c>
      <c r="D113" s="54" t="str">
        <f>IMAGE("https://raw.githubusercontent.com/RedCat161/AoM/main/Telf/Telf1_200.jpg")</f>
        <v/>
      </c>
      <c r="E113" s="55" t="str">
        <f>'Созвездия'!B11</f>
        <v/>
      </c>
      <c r="F113" s="55" t="s">
        <v>16</v>
      </c>
      <c r="G113" s="55" t="str">
        <f>'Созвездия'!B11</f>
        <v/>
      </c>
      <c r="H113" s="55" t="s">
        <v>16</v>
      </c>
      <c r="I113" s="55" t="str">
        <f>'Созвездия'!B13</f>
        <v/>
      </c>
      <c r="J113" s="55" t="s">
        <v>18</v>
      </c>
      <c r="K113" s="55" t="str">
        <f>'Созвездия'!B11</f>
        <v/>
      </c>
      <c r="L113" s="56" t="s">
        <v>16</v>
      </c>
      <c r="M113" s="57">
        <f t="shared" si="1"/>
        <v>1</v>
      </c>
      <c r="N113" s="58"/>
      <c r="O113" s="58"/>
      <c r="P113" s="58"/>
      <c r="Q113" s="29"/>
      <c r="R113" s="29"/>
      <c r="S113" s="71" t="s">
        <v>178</v>
      </c>
      <c r="T113" s="60"/>
      <c r="U113" s="5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37.5" customHeight="1">
      <c r="A114" s="40">
        <v>109.0</v>
      </c>
      <c r="B114" s="106" t="s">
        <v>175</v>
      </c>
      <c r="C114" s="53" t="s">
        <v>182</v>
      </c>
      <c r="D114" s="54" t="str">
        <f>IMAGE("https://raw.githubusercontent.com/RedCat161/AoM/main/Telf/Telf2_200.jpg")</f>
        <v/>
      </c>
      <c r="E114" s="55" t="str">
        <f>'Созвездия'!B3</f>
        <v/>
      </c>
      <c r="F114" s="55" t="s">
        <v>3</v>
      </c>
      <c r="G114" s="55" t="str">
        <f>'Созвездия'!B3</f>
        <v/>
      </c>
      <c r="H114" s="55" t="s">
        <v>3</v>
      </c>
      <c r="I114" s="55" t="str">
        <f>'Созвездия'!B11</f>
        <v/>
      </c>
      <c r="J114" s="55" t="s">
        <v>16</v>
      </c>
      <c r="K114" s="55" t="str">
        <f>'Созвездия'!B11</f>
        <v/>
      </c>
      <c r="L114" s="56" t="s">
        <v>16</v>
      </c>
      <c r="M114" s="57">
        <f t="shared" si="1"/>
        <v>1</v>
      </c>
      <c r="N114" s="58"/>
      <c r="O114" s="62"/>
      <c r="P114" s="62"/>
      <c r="Q114" s="29"/>
      <c r="R114" s="69" t="s">
        <v>183</v>
      </c>
      <c r="S114" s="71" t="s">
        <v>178</v>
      </c>
      <c r="T114" s="60"/>
      <c r="U114" s="5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37.5" customHeight="1">
      <c r="A115" s="40">
        <v>110.0</v>
      </c>
      <c r="B115" s="106" t="s">
        <v>175</v>
      </c>
      <c r="C115" s="53" t="s">
        <v>184</v>
      </c>
      <c r="D115" s="54" t="str">
        <f>IMAGE("https://raw.githubusercontent.com/RedCat161/AoM/main/Telf/Telf3_200.jpg")</f>
        <v/>
      </c>
      <c r="E115" s="55" t="str">
        <f>'Созвездия'!B6</f>
        <v/>
      </c>
      <c r="F115" s="55" t="s">
        <v>11</v>
      </c>
      <c r="G115" s="55" t="str">
        <f>'Созвездия'!B6</f>
        <v/>
      </c>
      <c r="H115" s="55" t="s">
        <v>11</v>
      </c>
      <c r="I115" s="55" t="str">
        <f>'Созвездия'!B11</f>
        <v/>
      </c>
      <c r="J115" s="55" t="s">
        <v>16</v>
      </c>
      <c r="K115" s="55" t="str">
        <f>'Созвездия'!B11</f>
        <v/>
      </c>
      <c r="L115" s="56" t="s">
        <v>16</v>
      </c>
      <c r="M115" s="57">
        <f t="shared" si="1"/>
        <v>1</v>
      </c>
      <c r="N115" s="58"/>
      <c r="O115" s="62"/>
      <c r="P115" s="29"/>
      <c r="Q115" s="29"/>
      <c r="R115" s="29"/>
      <c r="S115" s="71" t="s">
        <v>178</v>
      </c>
      <c r="T115" s="60"/>
      <c r="U115" s="5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37.5" customHeight="1">
      <c r="A116" s="40">
        <v>111.0</v>
      </c>
      <c r="B116" s="107" t="s">
        <v>185</v>
      </c>
      <c r="C116" s="53" t="s">
        <v>186</v>
      </c>
      <c r="D116" s="54" t="str">
        <f>IMAGE("https://raw.githubusercontent.com/RedCat161/AoM/main/beetles/beetle4_200.jpg")</f>
        <v/>
      </c>
      <c r="E116" s="55" t="str">
        <f>'Созвездия'!B10</f>
        <v/>
      </c>
      <c r="F116" s="55" t="s">
        <v>15</v>
      </c>
      <c r="G116" s="55" t="str">
        <f>'Созвездия'!B8</f>
        <v/>
      </c>
      <c r="H116" s="55" t="s">
        <v>13</v>
      </c>
      <c r="I116" s="55" t="str">
        <f>'Созвездия'!B2</f>
        <v/>
      </c>
      <c r="J116" s="55" t="s">
        <v>2</v>
      </c>
      <c r="K116" s="55" t="str">
        <f>'Созвездия'!B2</f>
        <v/>
      </c>
      <c r="L116" s="56" t="s">
        <v>2</v>
      </c>
      <c r="M116" s="57">
        <f t="shared" si="1"/>
        <v>1</v>
      </c>
      <c r="N116" s="58"/>
      <c r="O116" s="58"/>
      <c r="P116" s="29"/>
      <c r="Q116" s="29"/>
      <c r="R116" s="29"/>
      <c r="S116" s="59"/>
      <c r="T116" s="60"/>
      <c r="U116" s="102" t="s">
        <v>187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37.5" customHeight="1">
      <c r="A117" s="40">
        <v>112.0</v>
      </c>
      <c r="B117" s="107" t="s">
        <v>185</v>
      </c>
      <c r="C117" s="53" t="s">
        <v>188</v>
      </c>
      <c r="D117" s="54" t="str">
        <f>IMAGE("https://raw.githubusercontent.com/RedCat161/AoM/main/beetles/beetle1_200.jpg")</f>
        <v/>
      </c>
      <c r="E117" s="55" t="str">
        <f>'Созвездия'!B8</f>
        <v/>
      </c>
      <c r="F117" s="55" t="s">
        <v>13</v>
      </c>
      <c r="G117" s="55" t="str">
        <f>'Созвездия'!B8</f>
        <v/>
      </c>
      <c r="H117" s="55" t="s">
        <v>13</v>
      </c>
      <c r="I117" s="55" t="str">
        <f>'Созвездия'!B11</f>
        <v/>
      </c>
      <c r="J117" s="55" t="s">
        <v>16</v>
      </c>
      <c r="K117" s="55" t="str">
        <f>'Созвездия'!B11</f>
        <v/>
      </c>
      <c r="L117" s="56" t="s">
        <v>16</v>
      </c>
      <c r="M117" s="57">
        <f t="shared" si="1"/>
        <v>1</v>
      </c>
      <c r="N117" s="58"/>
      <c r="O117" s="58"/>
      <c r="P117" s="29"/>
      <c r="Q117" s="29"/>
      <c r="R117" s="69" t="s">
        <v>152</v>
      </c>
      <c r="S117" s="71" t="s">
        <v>189</v>
      </c>
      <c r="T117" s="60"/>
      <c r="U117" s="102" t="s">
        <v>187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37.5" customHeight="1">
      <c r="A118" s="40">
        <v>113.0</v>
      </c>
      <c r="B118" s="107" t="s">
        <v>185</v>
      </c>
      <c r="C118" s="53" t="s">
        <v>190</v>
      </c>
      <c r="D118" s="54" t="str">
        <f>IMAGE("https://raw.githubusercontent.com/RedCat161/AoM/main/beetles/beetle5_200.jpg")</f>
        <v/>
      </c>
      <c r="E118" s="55" t="str">
        <f>'Созвездия'!B5</f>
        <v/>
      </c>
      <c r="F118" s="55" t="s">
        <v>10</v>
      </c>
      <c r="G118" s="55" t="str">
        <f>'Созвездия'!B8</f>
        <v/>
      </c>
      <c r="H118" s="55" t="s">
        <v>13</v>
      </c>
      <c r="I118" s="55" t="str">
        <f>'Созвездия'!B7</f>
        <v/>
      </c>
      <c r="J118" s="55" t="s">
        <v>12</v>
      </c>
      <c r="K118" s="55" t="str">
        <f>'Созвездия'!B7</f>
        <v/>
      </c>
      <c r="L118" s="56" t="s">
        <v>12</v>
      </c>
      <c r="M118" s="57">
        <f t="shared" si="1"/>
        <v>1</v>
      </c>
      <c r="N118" s="58"/>
      <c r="O118" s="29"/>
      <c r="P118" s="29"/>
      <c r="Q118" s="29"/>
      <c r="R118" s="29"/>
      <c r="S118" s="59"/>
      <c r="T118" s="60"/>
      <c r="U118" s="102" t="s">
        <v>187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37.5" customHeight="1">
      <c r="A119" s="40">
        <v>114.0</v>
      </c>
      <c r="B119" s="107" t="s">
        <v>185</v>
      </c>
      <c r="C119" s="53" t="s">
        <v>191</v>
      </c>
      <c r="D119" s="54" t="str">
        <f>IMAGE("https://raw.githubusercontent.com/RedCat161/AoM/main/beetles/beetle6_200.jpg")</f>
        <v/>
      </c>
      <c r="E119" s="55" t="str">
        <f>'Созвездия'!B5</f>
        <v/>
      </c>
      <c r="F119" s="55" t="s">
        <v>10</v>
      </c>
      <c r="G119" s="55" t="str">
        <f>'Созвездия'!B5</f>
        <v/>
      </c>
      <c r="H119" s="55" t="s">
        <v>10</v>
      </c>
      <c r="I119" s="55" t="str">
        <f>'Созвездия'!B11</f>
        <v/>
      </c>
      <c r="J119" s="55" t="s">
        <v>16</v>
      </c>
      <c r="K119" s="55" t="str">
        <f>'Созвездия'!B4</f>
        <v/>
      </c>
      <c r="L119" s="56" t="s">
        <v>8</v>
      </c>
      <c r="M119" s="57">
        <f t="shared" si="1"/>
        <v>0</v>
      </c>
      <c r="N119" s="58"/>
      <c r="O119" s="58"/>
      <c r="P119" s="58"/>
      <c r="Q119" s="29"/>
      <c r="R119" s="29"/>
      <c r="S119" s="59"/>
      <c r="T119" s="60"/>
      <c r="U119" s="102" t="s">
        <v>187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37.5" customHeight="1">
      <c r="A120" s="40">
        <v>115.0</v>
      </c>
      <c r="B120" s="107" t="s">
        <v>185</v>
      </c>
      <c r="C120" s="53" t="s">
        <v>192</v>
      </c>
      <c r="D120" s="54" t="str">
        <f>IMAGE("https://raw.githubusercontent.com/RedCat161/AoM/main/beetles/beetle2_200.jpg")</f>
        <v/>
      </c>
      <c r="E120" s="55" t="str">
        <f>'Созвездия'!B5</f>
        <v/>
      </c>
      <c r="F120" s="55" t="s">
        <v>10</v>
      </c>
      <c r="G120" s="55" t="str">
        <f>'Созвездия'!B5</f>
        <v/>
      </c>
      <c r="H120" s="55" t="s">
        <v>10</v>
      </c>
      <c r="I120" s="55" t="str">
        <f>'Созвездия'!B5</f>
        <v/>
      </c>
      <c r="J120" s="55" t="s">
        <v>10</v>
      </c>
      <c r="K120" s="55" t="str">
        <f>'Созвездия'!B5</f>
        <v/>
      </c>
      <c r="L120" s="56" t="s">
        <v>10</v>
      </c>
      <c r="M120" s="57">
        <f t="shared" si="1"/>
        <v>0</v>
      </c>
      <c r="N120" s="58"/>
      <c r="O120" s="58"/>
      <c r="P120" s="58"/>
      <c r="Q120" s="29"/>
      <c r="R120" s="29"/>
      <c r="S120" s="71" t="s">
        <v>189</v>
      </c>
      <c r="T120" s="60"/>
      <c r="U120" s="102" t="s">
        <v>187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37.5" customHeight="1">
      <c r="A121" s="40">
        <v>116.0</v>
      </c>
      <c r="B121" s="107" t="s">
        <v>185</v>
      </c>
      <c r="C121" s="53" t="s">
        <v>193</v>
      </c>
      <c r="D121" s="54" t="str">
        <f>IMAGE("https://raw.githubusercontent.com/RedCat161/AoM/main/beetles/beetle7_200.jpg")</f>
        <v/>
      </c>
      <c r="E121" s="55" t="str">
        <f>'Созвездия'!B13</f>
        <v/>
      </c>
      <c r="F121" s="55" t="s">
        <v>18</v>
      </c>
      <c r="G121" s="55" t="str">
        <f>'Созвездия'!B2</f>
        <v/>
      </c>
      <c r="H121" s="55" t="s">
        <v>2</v>
      </c>
      <c r="I121" s="55" t="str">
        <f>'Созвездия'!B2</f>
        <v/>
      </c>
      <c r="J121" s="55" t="s">
        <v>2</v>
      </c>
      <c r="K121" s="55" t="str">
        <f>'Созвездия'!B2</f>
        <v/>
      </c>
      <c r="L121" s="56" t="s">
        <v>2</v>
      </c>
      <c r="M121" s="57">
        <f t="shared" si="1"/>
        <v>1</v>
      </c>
      <c r="N121" s="58"/>
      <c r="O121" s="29"/>
      <c r="P121" s="58"/>
      <c r="Q121" s="29"/>
      <c r="R121" s="29"/>
      <c r="S121" s="59"/>
      <c r="T121" s="60"/>
      <c r="U121" s="102" t="s">
        <v>187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37.5" customHeight="1">
      <c r="A122" s="40">
        <v>117.0</v>
      </c>
      <c r="B122" s="107" t="s">
        <v>185</v>
      </c>
      <c r="C122" s="53" t="s">
        <v>194</v>
      </c>
      <c r="D122" s="54" t="str">
        <f>IMAGE("https://raw.githubusercontent.com/RedCat161/AoM/main/beetles/beetle3_200.jpg")</f>
        <v/>
      </c>
      <c r="E122" s="55" t="str">
        <f>'Созвездия'!B11</f>
        <v/>
      </c>
      <c r="F122" s="55" t="s">
        <v>16</v>
      </c>
      <c r="G122" s="55" t="str">
        <f>'Созвездия'!B13</f>
        <v/>
      </c>
      <c r="H122" s="55" t="s">
        <v>18</v>
      </c>
      <c r="I122" s="55" t="str">
        <f>'Созвездия'!B2</f>
        <v/>
      </c>
      <c r="J122" s="55" t="s">
        <v>2</v>
      </c>
      <c r="K122" s="55" t="str">
        <f>'Созвездия'!B10</f>
        <v/>
      </c>
      <c r="L122" s="56" t="s">
        <v>15</v>
      </c>
      <c r="M122" s="57">
        <f t="shared" si="1"/>
        <v>1</v>
      </c>
      <c r="N122" s="58"/>
      <c r="O122" s="29"/>
      <c r="P122" s="29"/>
      <c r="Q122" s="29"/>
      <c r="R122" s="29"/>
      <c r="S122" s="59"/>
      <c r="T122" s="60"/>
      <c r="U122" s="59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37.5" customHeight="1">
      <c r="A123" s="40">
        <v>118.0</v>
      </c>
      <c r="B123" s="108" t="s">
        <v>195</v>
      </c>
      <c r="C123" s="53" t="s">
        <v>196</v>
      </c>
      <c r="D123" s="54" t="str">
        <f>IMAGE("https://raw.githubusercontent.com/RedCat161/AoM/main/Gy/Gy5_200.jpg")</f>
        <v/>
      </c>
      <c r="E123" s="55" t="str">
        <f>'Созвездия'!B6</f>
        <v/>
      </c>
      <c r="F123" s="55" t="s">
        <v>11</v>
      </c>
      <c r="G123" s="55" t="str">
        <f>'Созвездия'!B11</f>
        <v/>
      </c>
      <c r="H123" s="55" t="s">
        <v>16</v>
      </c>
      <c r="I123" s="55" t="str">
        <f>'Созвездия'!B2</f>
        <v/>
      </c>
      <c r="J123" s="55" t="s">
        <v>2</v>
      </c>
      <c r="K123" s="55" t="str">
        <f>'Созвездия'!B3</f>
        <v/>
      </c>
      <c r="L123" s="56" t="s">
        <v>3</v>
      </c>
      <c r="M123" s="57">
        <f t="shared" si="1"/>
        <v>2</v>
      </c>
      <c r="N123" s="58"/>
      <c r="O123" s="29"/>
      <c r="P123" s="62"/>
      <c r="Q123" s="29"/>
      <c r="R123" s="29"/>
      <c r="S123" s="59"/>
      <c r="T123" s="60"/>
      <c r="U123" s="59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37.5" customHeight="1">
      <c r="A124" s="40">
        <v>119.0</v>
      </c>
      <c r="B124" s="108" t="s">
        <v>195</v>
      </c>
      <c r="C124" s="53" t="s">
        <v>197</v>
      </c>
      <c r="D124" s="54" t="str">
        <f>IMAGE("https://raw.githubusercontent.com/RedCat161/AoM/main/Gy/Gy4_200.jpg")</f>
        <v/>
      </c>
      <c r="E124" s="55" t="str">
        <f>'Созвездия'!B9</f>
        <v/>
      </c>
      <c r="F124" s="55" t="s">
        <v>14</v>
      </c>
      <c r="G124" s="55" t="str">
        <f>'Созвездия'!B10</f>
        <v/>
      </c>
      <c r="H124" s="55" t="s">
        <v>15</v>
      </c>
      <c r="I124" s="55" t="str">
        <f>'Созвездия'!B8</f>
        <v/>
      </c>
      <c r="J124" s="55" t="s">
        <v>13</v>
      </c>
      <c r="K124" s="55" t="str">
        <f>'Созвездия'!B2</f>
        <v/>
      </c>
      <c r="L124" s="56" t="s">
        <v>2</v>
      </c>
      <c r="M124" s="57">
        <f t="shared" si="1"/>
        <v>1</v>
      </c>
      <c r="N124" s="61" t="s">
        <v>38</v>
      </c>
      <c r="O124" s="58"/>
      <c r="P124" s="29"/>
      <c r="Q124" s="29"/>
      <c r="R124" s="29"/>
      <c r="S124" s="59"/>
      <c r="T124" s="60"/>
      <c r="U124" s="59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37.5" customHeight="1">
      <c r="A125" s="40">
        <v>120.0</v>
      </c>
      <c r="B125" s="108" t="s">
        <v>195</v>
      </c>
      <c r="C125" s="53" t="s">
        <v>198</v>
      </c>
      <c r="D125" s="54" t="str">
        <f>IMAGE("https://raw.githubusercontent.com/RedCat161/AoM/main/Gy/Gy1_200.jpg")</f>
        <v/>
      </c>
      <c r="E125" s="55" t="str">
        <f>'Созвездия'!B12</f>
        <v/>
      </c>
      <c r="F125" s="55" t="s">
        <v>17</v>
      </c>
      <c r="G125" s="55" t="str">
        <f>'Созвездия'!B12</f>
        <v/>
      </c>
      <c r="H125" s="55" t="s">
        <v>17</v>
      </c>
      <c r="I125" s="55" t="str">
        <f>'Созвездия'!B7</f>
        <v/>
      </c>
      <c r="J125" s="55" t="s">
        <v>12</v>
      </c>
      <c r="K125" s="55" t="str">
        <f>'Созвездия'!B7</f>
        <v/>
      </c>
      <c r="L125" s="56" t="s">
        <v>12</v>
      </c>
      <c r="M125" s="57">
        <f t="shared" si="1"/>
        <v>0</v>
      </c>
      <c r="N125" s="58"/>
      <c r="O125" s="58"/>
      <c r="P125" s="58"/>
      <c r="Q125" s="29"/>
      <c r="R125" s="29"/>
      <c r="S125" s="59"/>
      <c r="T125" s="60"/>
      <c r="U125" s="59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37.5" customHeight="1">
      <c r="A126" s="40">
        <v>121.0</v>
      </c>
      <c r="B126" s="108" t="s">
        <v>195</v>
      </c>
      <c r="C126" s="53" t="s">
        <v>199</v>
      </c>
      <c r="D126" s="54" t="str">
        <f>IMAGE("https://raw.githubusercontent.com/RedCat161/AoM/main/Gy/Gy7_200.jpg")</f>
        <v/>
      </c>
      <c r="E126" s="55" t="str">
        <f>'Созвездия'!B9</f>
        <v/>
      </c>
      <c r="F126" s="55" t="s">
        <v>14</v>
      </c>
      <c r="G126" s="55" t="str">
        <f>'Созвездия'!B9</f>
        <v/>
      </c>
      <c r="H126" s="55" t="s">
        <v>14</v>
      </c>
      <c r="I126" s="55" t="str">
        <f>'Созвездия'!B3</f>
        <v/>
      </c>
      <c r="J126" s="55" t="s">
        <v>3</v>
      </c>
      <c r="K126" s="55" t="str">
        <f>'Созвездия'!B11</f>
        <v/>
      </c>
      <c r="L126" s="56" t="s">
        <v>16</v>
      </c>
      <c r="M126" s="57">
        <f t="shared" si="1"/>
        <v>1</v>
      </c>
      <c r="N126" s="61" t="s">
        <v>38</v>
      </c>
      <c r="O126" s="61" t="s">
        <v>38</v>
      </c>
      <c r="P126" s="68" t="s">
        <v>38</v>
      </c>
      <c r="Q126" s="29"/>
      <c r="R126" s="29"/>
      <c r="S126" s="59"/>
      <c r="T126" s="60"/>
      <c r="U126" s="59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37.5" customHeight="1">
      <c r="A127" s="40">
        <v>122.0</v>
      </c>
      <c r="B127" s="108" t="s">
        <v>195</v>
      </c>
      <c r="C127" s="53" t="s">
        <v>200</v>
      </c>
      <c r="D127" s="54" t="str">
        <f>IMAGE("https://raw.githubusercontent.com/RedCat161/AoM/main/Gy/Gy3_200.jpg")</f>
        <v/>
      </c>
      <c r="E127" s="55" t="str">
        <f>'Созвездия'!B9</f>
        <v/>
      </c>
      <c r="F127" s="55" t="s">
        <v>14</v>
      </c>
      <c r="G127" s="55" t="str">
        <f>'Созвездия'!B6</f>
        <v/>
      </c>
      <c r="H127" s="55" t="s">
        <v>11</v>
      </c>
      <c r="I127" s="55" t="str">
        <f>'Созвездия'!B2</f>
        <v/>
      </c>
      <c r="J127" s="55" t="s">
        <v>2</v>
      </c>
      <c r="K127" s="55" t="str">
        <f>'Созвездия'!B4</f>
        <v/>
      </c>
      <c r="L127" s="56" t="s">
        <v>8</v>
      </c>
      <c r="M127" s="57">
        <f t="shared" si="1"/>
        <v>1</v>
      </c>
      <c r="N127" s="58"/>
      <c r="O127" s="58"/>
      <c r="P127" s="61" t="s">
        <v>38</v>
      </c>
      <c r="Q127" s="29"/>
      <c r="R127" s="29"/>
      <c r="S127" s="59"/>
      <c r="T127" s="60"/>
      <c r="U127" s="59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37.5" customHeight="1">
      <c r="A128" s="40">
        <v>123.0</v>
      </c>
      <c r="B128" s="108" t="s">
        <v>195</v>
      </c>
      <c r="C128" s="89" t="s">
        <v>201</v>
      </c>
      <c r="D128" s="54" t="str">
        <f>IMAGE("https://raw.githubusercontent.com/RedCat161/AoM/main/Gy/Gy8_200.jpg")</f>
        <v/>
      </c>
      <c r="E128" s="55" t="str">
        <f>'Созвездия'!B5</f>
        <v/>
      </c>
      <c r="F128" s="55" t="s">
        <v>10</v>
      </c>
      <c r="G128" s="55" t="str">
        <f>'Созвездия'!B5</f>
        <v/>
      </c>
      <c r="H128" s="55" t="s">
        <v>10</v>
      </c>
      <c r="I128" s="55" t="str">
        <f>'Созвездия'!B8</f>
        <v/>
      </c>
      <c r="J128" s="55" t="s">
        <v>13</v>
      </c>
      <c r="K128" s="55" t="str">
        <f>'Созвездия'!B8</f>
        <v/>
      </c>
      <c r="L128" s="56" t="s">
        <v>13</v>
      </c>
      <c r="M128" s="57">
        <f t="shared" si="1"/>
        <v>1</v>
      </c>
      <c r="N128" s="58"/>
      <c r="O128" s="29"/>
      <c r="P128" s="29"/>
      <c r="Q128" s="29"/>
      <c r="R128" s="29"/>
      <c r="S128" s="59"/>
      <c r="T128" s="60"/>
      <c r="U128" s="59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37.5" customHeight="1">
      <c r="A129" s="40">
        <v>124.0</v>
      </c>
      <c r="B129" s="108" t="s">
        <v>195</v>
      </c>
      <c r="C129" s="53" t="s">
        <v>202</v>
      </c>
      <c r="D129" s="54" t="str">
        <f>IMAGE("https://raw.githubusercontent.com/RedCat161/AoM/main/Gy/Gy2_200.jpg")</f>
        <v/>
      </c>
      <c r="E129" s="55" t="str">
        <f>'Созвездия'!B9</f>
        <v/>
      </c>
      <c r="F129" s="55" t="s">
        <v>14</v>
      </c>
      <c r="G129" s="55" t="str">
        <f>'Созвездия'!B6</f>
        <v/>
      </c>
      <c r="H129" s="55" t="s">
        <v>11</v>
      </c>
      <c r="I129" s="55" t="str">
        <f>'Созвездия'!B2</f>
        <v/>
      </c>
      <c r="J129" s="55" t="s">
        <v>2</v>
      </c>
      <c r="K129" s="55" t="str">
        <f>'Созвездия'!B3</f>
        <v/>
      </c>
      <c r="L129" s="56" t="s">
        <v>3</v>
      </c>
      <c r="M129" s="57">
        <f t="shared" si="1"/>
        <v>2</v>
      </c>
      <c r="N129" s="58"/>
      <c r="O129" s="61" t="s">
        <v>38</v>
      </c>
      <c r="P129" s="62"/>
      <c r="Q129" s="29"/>
      <c r="R129" s="29"/>
      <c r="S129" s="59"/>
      <c r="T129" s="100" t="s">
        <v>50</v>
      </c>
      <c r="U129" s="5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37.5" customHeight="1">
      <c r="A130" s="40">
        <v>125.0</v>
      </c>
      <c r="B130" s="108" t="s">
        <v>195</v>
      </c>
      <c r="C130" s="53" t="s">
        <v>203</v>
      </c>
      <c r="D130" s="54" t="str">
        <f>IMAGE("https://raw.githubusercontent.com/RedCat161/AoM/main/Gy/Gy6_200.jpg")</f>
        <v/>
      </c>
      <c r="E130" s="55" t="str">
        <f>'Созвездия'!B9</f>
        <v/>
      </c>
      <c r="F130" s="55" t="s">
        <v>14</v>
      </c>
      <c r="G130" s="55" t="str">
        <f>'Созвездия'!B8</f>
        <v/>
      </c>
      <c r="H130" s="55" t="s">
        <v>13</v>
      </c>
      <c r="I130" s="55" t="str">
        <f>'Созвездия'!B9</f>
        <v/>
      </c>
      <c r="J130" s="55" t="s">
        <v>14</v>
      </c>
      <c r="K130" s="55" t="str">
        <f>'Созвездия'!B8</f>
        <v/>
      </c>
      <c r="L130" s="56" t="s">
        <v>13</v>
      </c>
      <c r="M130" s="57">
        <f t="shared" si="1"/>
        <v>1</v>
      </c>
      <c r="N130" s="58"/>
      <c r="O130" s="62"/>
      <c r="P130" s="58"/>
      <c r="Q130" s="29"/>
      <c r="R130" s="29"/>
      <c r="S130" s="59"/>
      <c r="T130" s="60"/>
      <c r="U130" s="5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37.5" customHeight="1">
      <c r="A131" s="40">
        <v>126.0</v>
      </c>
      <c r="B131" s="109" t="s">
        <v>204</v>
      </c>
      <c r="C131" s="53" t="s">
        <v>205</v>
      </c>
      <c r="D131" s="54" t="str">
        <f>IMAGE("https://raw.githubusercontent.com/RedCat161/AoM/main/Kobalds/Kobald4_200.jpg")</f>
        <v/>
      </c>
      <c r="E131" s="55" t="str">
        <f>'Созвездия'!B5</f>
        <v/>
      </c>
      <c r="F131" s="55" t="s">
        <v>10</v>
      </c>
      <c r="G131" s="55" t="str">
        <f>'Созвездия'!B5</f>
        <v/>
      </c>
      <c r="H131" s="55" t="s">
        <v>10</v>
      </c>
      <c r="I131" s="55" t="str">
        <f>'Созвездия'!B8</f>
        <v/>
      </c>
      <c r="J131" s="55" t="s">
        <v>13</v>
      </c>
      <c r="K131" s="55" t="str">
        <f>'Созвездия'!B8</f>
        <v/>
      </c>
      <c r="L131" s="56" t="s">
        <v>13</v>
      </c>
      <c r="M131" s="57">
        <f t="shared" si="1"/>
        <v>1</v>
      </c>
      <c r="N131" s="58"/>
      <c r="O131" s="62"/>
      <c r="P131" s="29"/>
      <c r="Q131" s="62"/>
      <c r="R131" s="29"/>
      <c r="S131" s="59"/>
      <c r="T131" s="60"/>
      <c r="U131" s="5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37.5" customHeight="1">
      <c r="A132" s="40">
        <v>127.0</v>
      </c>
      <c r="B132" s="109" t="s">
        <v>204</v>
      </c>
      <c r="C132" s="53" t="s">
        <v>206</v>
      </c>
      <c r="D132" s="54" t="str">
        <f>IMAGE("https://raw.githubusercontent.com/RedCat161/AoM/main/Kobalds/Kobald2_200.jpg")</f>
        <v/>
      </c>
      <c r="E132" s="55" t="str">
        <f>'Созвездия'!B5</f>
        <v/>
      </c>
      <c r="F132" s="55" t="s">
        <v>10</v>
      </c>
      <c r="G132" s="55" t="str">
        <f>'Созвездия'!B5</f>
        <v/>
      </c>
      <c r="H132" s="55" t="s">
        <v>10</v>
      </c>
      <c r="I132" s="55" t="str">
        <f>'Созвездия'!B11</f>
        <v/>
      </c>
      <c r="J132" s="55" t="s">
        <v>16</v>
      </c>
      <c r="K132" s="55" t="str">
        <f>'Созвездия'!B5</f>
        <v/>
      </c>
      <c r="L132" s="56" t="s">
        <v>10</v>
      </c>
      <c r="M132" s="57">
        <f t="shared" si="1"/>
        <v>0</v>
      </c>
      <c r="N132" s="58"/>
      <c r="O132" s="58"/>
      <c r="P132" s="29"/>
      <c r="Q132" s="29"/>
      <c r="R132" s="29"/>
      <c r="S132" s="59"/>
      <c r="T132" s="60"/>
      <c r="U132" s="5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37.5" customHeight="1">
      <c r="A133" s="40">
        <v>128.0</v>
      </c>
      <c r="B133" s="109" t="s">
        <v>204</v>
      </c>
      <c r="C133" s="53" t="s">
        <v>207</v>
      </c>
      <c r="D133" s="54" t="str">
        <f>IMAGE("https://raw.githubusercontent.com/RedCat161/AoM/main/Kobalds/Kobald5_200.jpg")</f>
        <v/>
      </c>
      <c r="E133" s="55" t="str">
        <f>'Созвездия'!B7</f>
        <v/>
      </c>
      <c r="F133" s="55" t="s">
        <v>12</v>
      </c>
      <c r="G133" s="55" t="str">
        <f>'Созвездия'!B7</f>
        <v/>
      </c>
      <c r="H133" s="55" t="s">
        <v>12</v>
      </c>
      <c r="I133" s="55" t="str">
        <f>'Созвездия'!B12</f>
        <v/>
      </c>
      <c r="J133" s="55" t="s">
        <v>17</v>
      </c>
      <c r="K133" s="55" t="str">
        <f>'Созвездия'!B7</f>
        <v/>
      </c>
      <c r="L133" s="56" t="s">
        <v>12</v>
      </c>
      <c r="M133" s="57">
        <f t="shared" si="1"/>
        <v>0</v>
      </c>
      <c r="N133" s="58"/>
      <c r="O133" s="58"/>
      <c r="P133" s="29"/>
      <c r="Q133" s="29"/>
      <c r="R133" s="29"/>
      <c r="S133" s="59"/>
      <c r="T133" s="60"/>
      <c r="U133" s="5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37.5" customHeight="1">
      <c r="A134" s="40">
        <v>129.0</v>
      </c>
      <c r="B134" s="109" t="s">
        <v>204</v>
      </c>
      <c r="C134" s="53" t="s">
        <v>208</v>
      </c>
      <c r="D134" s="54" t="str">
        <f>IMAGE("https://raw.githubusercontent.com/RedCat161/AoM/main/Kobalds/Kobald6_200.jpg")</f>
        <v/>
      </c>
      <c r="E134" s="55" t="str">
        <f>'Созвездия'!B12</f>
        <v/>
      </c>
      <c r="F134" s="55" t="s">
        <v>17</v>
      </c>
      <c r="G134" s="55" t="str">
        <f>'Созвездия'!B7</f>
        <v/>
      </c>
      <c r="H134" s="55" t="s">
        <v>12</v>
      </c>
      <c r="I134" s="55" t="str">
        <f>'Созвездия'!B11</f>
        <v/>
      </c>
      <c r="J134" s="55" t="s">
        <v>16</v>
      </c>
      <c r="K134" s="55" t="str">
        <f>'Созвездия'!B7</f>
        <v/>
      </c>
      <c r="L134" s="56" t="s">
        <v>12</v>
      </c>
      <c r="M134" s="57">
        <f t="shared" si="1"/>
        <v>0</v>
      </c>
      <c r="N134" s="58"/>
      <c r="O134" s="29"/>
      <c r="P134" s="62"/>
      <c r="Q134" s="29"/>
      <c r="R134" s="29"/>
      <c r="S134" s="59"/>
      <c r="T134" s="60"/>
      <c r="U134" s="5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37.5" customHeight="1">
      <c r="A135" s="40">
        <v>130.0</v>
      </c>
      <c r="B135" s="109" t="s">
        <v>204</v>
      </c>
      <c r="C135" s="53" t="s">
        <v>209</v>
      </c>
      <c r="D135" s="54" t="str">
        <f>IMAGE("https://raw.githubusercontent.com/RedCat161/AoM/main/Kobalds/Kobald3_200.jpg")</f>
        <v/>
      </c>
      <c r="E135" s="55" t="str">
        <f>'Созвездия'!B6</f>
        <v/>
      </c>
      <c r="F135" s="55" t="s">
        <v>11</v>
      </c>
      <c r="G135" s="55" t="str">
        <f>'Созвездия'!B11</f>
        <v/>
      </c>
      <c r="H135" s="55" t="s">
        <v>16</v>
      </c>
      <c r="I135" s="55" t="str">
        <f>'Созвездия'!B12</f>
        <v/>
      </c>
      <c r="J135" s="55" t="s">
        <v>17</v>
      </c>
      <c r="K135" s="55" t="str">
        <f>'Созвездия'!B13</f>
        <v/>
      </c>
      <c r="L135" s="56" t="s">
        <v>18</v>
      </c>
      <c r="M135" s="57">
        <f t="shared" si="1"/>
        <v>2</v>
      </c>
      <c r="N135" s="58"/>
      <c r="O135" s="58"/>
      <c r="P135" s="29"/>
      <c r="Q135" s="29"/>
      <c r="R135" s="29"/>
      <c r="S135" s="59"/>
      <c r="T135" s="60"/>
      <c r="U135" s="5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37.5" customHeight="1">
      <c r="A136" s="40">
        <v>131.0</v>
      </c>
      <c r="B136" s="109" t="s">
        <v>204</v>
      </c>
      <c r="C136" s="89" t="s">
        <v>210</v>
      </c>
      <c r="D136" s="54" t="str">
        <f>IMAGE("https://raw.githubusercontent.com/RedCat161/AoM/main/Kobalds/Kobald7_200.jpg")</f>
        <v/>
      </c>
      <c r="E136" s="55" t="str">
        <f>'Созвездия'!B3</f>
        <v/>
      </c>
      <c r="F136" s="55" t="s">
        <v>3</v>
      </c>
      <c r="G136" s="55" t="str">
        <f>'Созвездия'!B6</f>
        <v/>
      </c>
      <c r="H136" s="55" t="s">
        <v>11</v>
      </c>
      <c r="I136" s="55" t="str">
        <f>'Созвездия'!B3</f>
        <v/>
      </c>
      <c r="J136" s="55" t="s">
        <v>3</v>
      </c>
      <c r="K136" s="55" t="str">
        <f>'Созвездия'!B4</f>
        <v/>
      </c>
      <c r="L136" s="56" t="s">
        <v>8</v>
      </c>
      <c r="M136" s="57">
        <f t="shared" si="1"/>
        <v>2</v>
      </c>
      <c r="N136" s="58"/>
      <c r="O136" s="29"/>
      <c r="P136" s="62"/>
      <c r="Q136" s="29"/>
      <c r="R136" s="29"/>
      <c r="S136" s="59"/>
      <c r="T136" s="60"/>
      <c r="U136" s="5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37.5" customHeight="1">
      <c r="A137" s="40">
        <v>132.0</v>
      </c>
      <c r="B137" s="109" t="s">
        <v>204</v>
      </c>
      <c r="C137" s="53" t="s">
        <v>211</v>
      </c>
      <c r="D137" s="54" t="str">
        <f>IMAGE("https://raw.githubusercontent.com/RedCat161/AoM/main/Kobalds/Kobald1_200.jpg")</f>
        <v/>
      </c>
      <c r="E137" s="55" t="str">
        <f>'Созвездия'!B13</f>
        <v/>
      </c>
      <c r="F137" s="55" t="s">
        <v>18</v>
      </c>
      <c r="G137" s="55" t="str">
        <f>'Созвездия'!B13</f>
        <v/>
      </c>
      <c r="H137" s="55" t="s">
        <v>18</v>
      </c>
      <c r="I137" s="55" t="str">
        <f>'Созвездия'!B10</f>
        <v/>
      </c>
      <c r="J137" s="55" t="s">
        <v>15</v>
      </c>
      <c r="K137" s="55" t="str">
        <f>'Созвездия'!B2</f>
        <v/>
      </c>
      <c r="L137" s="56" t="s">
        <v>2</v>
      </c>
      <c r="M137" s="57">
        <f t="shared" si="1"/>
        <v>1</v>
      </c>
      <c r="N137" s="58"/>
      <c r="O137" s="58"/>
      <c r="P137" s="29"/>
      <c r="Q137" s="29"/>
      <c r="R137" s="29"/>
      <c r="S137" s="59"/>
      <c r="T137" s="60"/>
      <c r="U137" s="5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37.5" customHeight="1">
      <c r="A138" s="40">
        <v>133.0</v>
      </c>
      <c r="B138" s="110" t="s">
        <v>212</v>
      </c>
      <c r="C138" s="53" t="s">
        <v>213</v>
      </c>
      <c r="D138" s="54" t="str">
        <f>IMAGE("https://raw.githubusercontent.com/RedCat161/AoM/main/beastmen/beastmen1_200.jpg")</f>
        <v/>
      </c>
      <c r="E138" s="55" t="str">
        <f>'Созвездия'!B11</f>
        <v/>
      </c>
      <c r="F138" s="55" t="s">
        <v>16</v>
      </c>
      <c r="G138" s="55" t="str">
        <f>'Созвездия'!B11</f>
        <v/>
      </c>
      <c r="H138" s="55" t="s">
        <v>16</v>
      </c>
      <c r="I138" s="55" t="str">
        <f>'Созвездия'!B11</f>
        <v/>
      </c>
      <c r="J138" s="55" t="s">
        <v>16</v>
      </c>
      <c r="K138" s="55" t="str">
        <f>'Созвездия'!B8</f>
        <v/>
      </c>
      <c r="L138" s="56" t="s">
        <v>13</v>
      </c>
      <c r="M138" s="57">
        <f t="shared" si="1"/>
        <v>1</v>
      </c>
      <c r="N138" s="58"/>
      <c r="O138" s="61" t="s">
        <v>38</v>
      </c>
      <c r="P138" s="29"/>
      <c r="Q138" s="29"/>
      <c r="R138" s="29"/>
      <c r="S138" s="71" t="s">
        <v>214</v>
      </c>
      <c r="T138" s="60"/>
      <c r="U138" s="5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37.5" customHeight="1">
      <c r="A139" s="40">
        <v>134.0</v>
      </c>
      <c r="B139" s="110" t="s">
        <v>212</v>
      </c>
      <c r="C139" s="89" t="s">
        <v>215</v>
      </c>
      <c r="D139" s="54" t="str">
        <f>IMAGE("https://raw.githubusercontent.com/RedCat161/AoM/main/beastmen/beastmen6_200.jpg")</f>
        <v/>
      </c>
      <c r="E139" s="55" t="str">
        <f>'Созвездия'!B3</f>
        <v/>
      </c>
      <c r="F139" s="55" t="s">
        <v>3</v>
      </c>
      <c r="G139" s="55" t="str">
        <f>'Созвездия'!B11</f>
        <v/>
      </c>
      <c r="H139" s="55" t="s">
        <v>16</v>
      </c>
      <c r="I139" s="55" t="str">
        <f>'Созвездия'!B3</f>
        <v/>
      </c>
      <c r="J139" s="55" t="s">
        <v>3</v>
      </c>
      <c r="K139" s="55" t="str">
        <f>'Созвездия'!B3</f>
        <v/>
      </c>
      <c r="L139" s="56" t="s">
        <v>3</v>
      </c>
      <c r="M139" s="57">
        <f t="shared" si="1"/>
        <v>1</v>
      </c>
      <c r="N139" s="58"/>
      <c r="O139" s="58"/>
      <c r="P139" s="62"/>
      <c r="Q139" s="62"/>
      <c r="R139" s="29"/>
      <c r="S139" s="71" t="s">
        <v>214</v>
      </c>
      <c r="T139" s="60"/>
      <c r="U139" s="5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37.5" customHeight="1">
      <c r="A140" s="40">
        <v>135.0</v>
      </c>
      <c r="B140" s="110" t="s">
        <v>212</v>
      </c>
      <c r="C140" s="53" t="s">
        <v>216</v>
      </c>
      <c r="D140" s="54" t="str">
        <f>IMAGE("https://raw.githubusercontent.com/RedCat161/AoM/main/beastmen/beastmen2_200.jpg")</f>
        <v/>
      </c>
      <c r="E140" s="55" t="str">
        <f>'Созвездия'!B6</f>
        <v/>
      </c>
      <c r="F140" s="55" t="s">
        <v>11</v>
      </c>
      <c r="G140" s="55" t="str">
        <f>'Созвездия'!B11</f>
        <v/>
      </c>
      <c r="H140" s="55" t="s">
        <v>16</v>
      </c>
      <c r="I140" s="55" t="str">
        <f>'Созвездия'!B2</f>
        <v/>
      </c>
      <c r="J140" s="55" t="s">
        <v>2</v>
      </c>
      <c r="K140" s="55" t="str">
        <f>'Созвездия'!B8</f>
        <v/>
      </c>
      <c r="L140" s="56" t="s">
        <v>13</v>
      </c>
      <c r="M140" s="57">
        <f t="shared" si="1"/>
        <v>2</v>
      </c>
      <c r="N140" s="58"/>
      <c r="O140" s="29"/>
      <c r="P140" s="29"/>
      <c r="Q140" s="29"/>
      <c r="R140" s="29"/>
      <c r="S140" s="71" t="s">
        <v>214</v>
      </c>
      <c r="T140" s="100" t="s">
        <v>50</v>
      </c>
      <c r="U140" s="5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37.5" customHeight="1">
      <c r="A141" s="40">
        <v>136.0</v>
      </c>
      <c r="B141" s="110" t="s">
        <v>212</v>
      </c>
      <c r="C141" s="53" t="s">
        <v>217</v>
      </c>
      <c r="D141" s="54" t="str">
        <f>IMAGE("https://raw.githubusercontent.com/RedCat161/AoM/main/beastmen/beastmen3_200.jpg")</f>
        <v/>
      </c>
      <c r="E141" s="55" t="str">
        <f>'Созвездия'!B9</f>
        <v/>
      </c>
      <c r="F141" s="55" t="s">
        <v>14</v>
      </c>
      <c r="G141" s="55" t="str">
        <f>'Созвездия'!B9</f>
        <v/>
      </c>
      <c r="H141" s="55" t="s">
        <v>14</v>
      </c>
      <c r="I141" s="55" t="str">
        <f>'Созвездия'!B6</f>
        <v/>
      </c>
      <c r="J141" s="55" t="s">
        <v>11</v>
      </c>
      <c r="K141" s="55" t="str">
        <f>'Созвездия'!B7</f>
        <v/>
      </c>
      <c r="L141" s="56" t="s">
        <v>12</v>
      </c>
      <c r="M141" s="57">
        <f t="shared" si="1"/>
        <v>1</v>
      </c>
      <c r="N141" s="58"/>
      <c r="O141" s="58"/>
      <c r="P141" s="111" t="s">
        <v>218</v>
      </c>
      <c r="Q141" s="29"/>
      <c r="R141" s="29"/>
      <c r="S141" s="71" t="s">
        <v>214</v>
      </c>
      <c r="T141" s="60"/>
      <c r="U141" s="5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37.5" customHeight="1">
      <c r="A142" s="40">
        <v>137.0</v>
      </c>
      <c r="B142" s="110" t="s">
        <v>212</v>
      </c>
      <c r="C142" s="53" t="s">
        <v>219</v>
      </c>
      <c r="D142" s="54" t="str">
        <f>IMAGE("https://raw.githubusercontent.com/RedCat161/AoM/main/beastmen/beastmen4_200.jpg")</f>
        <v/>
      </c>
      <c r="E142" s="55" t="str">
        <f>'Созвездия'!B2</f>
        <v/>
      </c>
      <c r="F142" s="55" t="s">
        <v>2</v>
      </c>
      <c r="G142" s="55" t="str">
        <f>'Созвездия'!B2</f>
        <v/>
      </c>
      <c r="H142" s="55" t="s">
        <v>2</v>
      </c>
      <c r="I142" s="55" t="str">
        <f>'Созвездия'!B2</f>
        <v/>
      </c>
      <c r="J142" s="55" t="s">
        <v>2</v>
      </c>
      <c r="K142" s="55" t="str">
        <f>'Созвездия'!B8</f>
        <v/>
      </c>
      <c r="L142" s="56" t="s">
        <v>13</v>
      </c>
      <c r="M142" s="57">
        <f t="shared" si="1"/>
        <v>1</v>
      </c>
      <c r="N142" s="58"/>
      <c r="O142" s="62"/>
      <c r="P142" s="58"/>
      <c r="Q142" s="29"/>
      <c r="R142" s="29"/>
      <c r="S142" s="71" t="s">
        <v>214</v>
      </c>
      <c r="T142" s="60"/>
      <c r="U142" s="102" t="s">
        <v>220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37.5" customHeight="1">
      <c r="A143" s="40">
        <v>138.0</v>
      </c>
      <c r="B143" s="110" t="s">
        <v>212</v>
      </c>
      <c r="C143" s="53" t="s">
        <v>221</v>
      </c>
      <c r="D143" s="54" t="str">
        <f>IMAGE("https://raw.githubusercontent.com/RedCat161/AoM/main/beastmen/beastmen7_200.jpg")</f>
        <v/>
      </c>
      <c r="E143" s="55" t="str">
        <f>'Созвездия'!B10</f>
        <v/>
      </c>
      <c r="F143" s="55" t="s">
        <v>15</v>
      </c>
      <c r="G143" s="55" t="str">
        <f>'Созвездия'!B11</f>
        <v/>
      </c>
      <c r="H143" s="55" t="s">
        <v>16</v>
      </c>
      <c r="I143" s="55" t="str">
        <f>'Созвездия'!B6</f>
        <v/>
      </c>
      <c r="J143" s="55" t="s">
        <v>11</v>
      </c>
      <c r="K143" s="55" t="str">
        <f>'Созвездия'!B13</f>
        <v/>
      </c>
      <c r="L143" s="56" t="s">
        <v>18</v>
      </c>
      <c r="M143" s="57">
        <f t="shared" si="1"/>
        <v>2</v>
      </c>
      <c r="N143" s="58"/>
      <c r="O143" s="58"/>
      <c r="P143" s="29"/>
      <c r="Q143" s="29"/>
      <c r="R143" s="71" t="s">
        <v>43</v>
      </c>
      <c r="S143" s="71" t="s">
        <v>214</v>
      </c>
      <c r="T143" s="60"/>
      <c r="U143" s="5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37.5" customHeight="1">
      <c r="A144" s="40">
        <v>139.0</v>
      </c>
      <c r="B144" s="110" t="s">
        <v>212</v>
      </c>
      <c r="C144" s="53" t="s">
        <v>222</v>
      </c>
      <c r="D144" s="54" t="str">
        <f>IMAGE("https://raw.githubusercontent.com/RedCat161/AoM/main/beastmen/beastmen5_200.jpg")</f>
        <v/>
      </c>
      <c r="E144" s="55" t="str">
        <f>'Созвездия'!B12</f>
        <v/>
      </c>
      <c r="F144" s="55" t="s">
        <v>17</v>
      </c>
      <c r="G144" s="55" t="str">
        <f>'Созвездия'!B12</f>
        <v/>
      </c>
      <c r="H144" s="55" t="s">
        <v>17</v>
      </c>
      <c r="I144" s="55" t="str">
        <f>'Созвездия'!B12</f>
        <v/>
      </c>
      <c r="J144" s="55" t="s">
        <v>17</v>
      </c>
      <c r="K144" s="55" t="str">
        <f>'Созвездия'!B13</f>
        <v/>
      </c>
      <c r="L144" s="56" t="s">
        <v>18</v>
      </c>
      <c r="M144" s="57">
        <f t="shared" si="1"/>
        <v>1</v>
      </c>
      <c r="N144" s="58"/>
      <c r="O144" s="29"/>
      <c r="P144" s="29"/>
      <c r="Q144" s="29"/>
      <c r="R144" s="29"/>
      <c r="S144" s="59"/>
      <c r="T144" s="60"/>
      <c r="U144" s="5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37.5" customHeight="1">
      <c r="A145" s="40">
        <v>140.0</v>
      </c>
      <c r="B145" s="110" t="s">
        <v>212</v>
      </c>
      <c r="C145" s="65" t="s">
        <v>223</v>
      </c>
      <c r="D145" s="54" t="str">
        <f>IMAGE("https://raw.githubusercontent.com/RedCat161/AoM/main/beastmen/beastmen8_200.jpg")</f>
        <v/>
      </c>
      <c r="E145" s="55" t="str">
        <f>'Созвездия'!B8</f>
        <v/>
      </c>
      <c r="F145" s="77" t="s">
        <v>13</v>
      </c>
      <c r="G145" s="55" t="str">
        <f>'Созвездия'!B8</f>
        <v/>
      </c>
      <c r="H145" s="77" t="s">
        <v>13</v>
      </c>
      <c r="I145" s="55" t="str">
        <f>'Созвездия'!B8</f>
        <v/>
      </c>
      <c r="J145" s="77" t="s">
        <v>13</v>
      </c>
      <c r="K145" s="55" t="str">
        <f>'Созвездия'!B3</f>
        <v/>
      </c>
      <c r="L145" s="78" t="s">
        <v>3</v>
      </c>
      <c r="M145" s="57">
        <f t="shared" si="1"/>
        <v>2</v>
      </c>
      <c r="N145" s="58"/>
      <c r="O145" s="58"/>
      <c r="P145" s="68" t="s">
        <v>38</v>
      </c>
      <c r="Q145" s="29"/>
      <c r="R145" s="29"/>
      <c r="S145" s="71" t="s">
        <v>214</v>
      </c>
      <c r="T145" s="60"/>
      <c r="U145" s="5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37.5" customHeight="1">
      <c r="A146" s="40">
        <v>141.0</v>
      </c>
      <c r="B146" s="110" t="s">
        <v>212</v>
      </c>
      <c r="C146" s="65" t="s">
        <v>224</v>
      </c>
      <c r="D146" s="54" t="str">
        <f>IMAGE("https://raw.githubusercontent.com/RedCat161/AoM/main/beastmen/beastmen9_200.jpg")</f>
        <v/>
      </c>
      <c r="E146" s="55" t="str">
        <f>'Созвездия'!B11</f>
        <v/>
      </c>
      <c r="F146" s="77" t="s">
        <v>16</v>
      </c>
      <c r="G146" s="55" t="str">
        <f>'Созвездия'!B11</f>
        <v/>
      </c>
      <c r="H146" s="77" t="s">
        <v>16</v>
      </c>
      <c r="I146" s="55" t="str">
        <f>'Созвездия'!B11</f>
        <v/>
      </c>
      <c r="J146" s="77" t="s">
        <v>16</v>
      </c>
      <c r="K146" s="55" t="str">
        <f>'Созвездия'!B11</f>
        <v/>
      </c>
      <c r="L146" s="78" t="s">
        <v>16</v>
      </c>
      <c r="M146" s="57">
        <f t="shared" si="1"/>
        <v>0</v>
      </c>
      <c r="N146" s="61" t="s">
        <v>38</v>
      </c>
      <c r="O146" s="68" t="s">
        <v>38</v>
      </c>
      <c r="P146" s="58"/>
      <c r="Q146" s="29"/>
      <c r="R146" s="69" t="s">
        <v>50</v>
      </c>
      <c r="S146" s="71" t="s">
        <v>214</v>
      </c>
      <c r="T146" s="60"/>
      <c r="U146" s="5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37.5" customHeight="1">
      <c r="A147" s="40">
        <v>142.0</v>
      </c>
      <c r="B147" s="110" t="s">
        <v>212</v>
      </c>
      <c r="C147" s="65" t="s">
        <v>225</v>
      </c>
      <c r="D147" s="54" t="str">
        <f>IMAGE("https://raw.githubusercontent.com/RedCat161/AoM/main/beastmen/beastmen10_200.jpg")</f>
        <v/>
      </c>
      <c r="E147" s="55" t="str">
        <f>'Созвездия'!B9</f>
        <v/>
      </c>
      <c r="F147" s="77" t="s">
        <v>14</v>
      </c>
      <c r="G147" s="55" t="str">
        <f>'Созвездия'!B9</f>
        <v/>
      </c>
      <c r="H147" s="77" t="s">
        <v>14</v>
      </c>
      <c r="I147" s="55" t="str">
        <f>'Созвездия'!B5</f>
        <v/>
      </c>
      <c r="J147" s="77" t="s">
        <v>10</v>
      </c>
      <c r="K147" s="55" t="str">
        <f>'Созвездия'!B6</f>
        <v/>
      </c>
      <c r="L147" s="78" t="s">
        <v>11</v>
      </c>
      <c r="M147" s="57">
        <f t="shared" si="1"/>
        <v>1</v>
      </c>
      <c r="N147" s="61" t="s">
        <v>38</v>
      </c>
      <c r="O147" s="61" t="s">
        <v>38</v>
      </c>
      <c r="P147" s="68" t="s">
        <v>38</v>
      </c>
      <c r="Q147" s="29"/>
      <c r="R147" s="29"/>
      <c r="S147" s="71" t="s">
        <v>214</v>
      </c>
      <c r="T147" s="60"/>
      <c r="U147" s="5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37.5" customHeight="1">
      <c r="A148" s="40">
        <v>143.0</v>
      </c>
      <c r="B148" s="110" t="s">
        <v>212</v>
      </c>
      <c r="C148" s="65" t="s">
        <v>226</v>
      </c>
      <c r="D148" s="54" t="str">
        <f>IMAGE("https://raw.githubusercontent.com/RedCat161/AoM/main/beastmen/beastmen11_200.jpg")</f>
        <v/>
      </c>
      <c r="E148" s="55" t="str">
        <f>'Созвездия'!B8</f>
        <v/>
      </c>
      <c r="F148" s="77" t="s">
        <v>13</v>
      </c>
      <c r="G148" s="55" t="str">
        <f>'Созвездия'!B8</f>
        <v/>
      </c>
      <c r="H148" s="77" t="s">
        <v>13</v>
      </c>
      <c r="I148" s="55" t="str">
        <f>'Созвездия'!B8</f>
        <v/>
      </c>
      <c r="J148" s="77" t="s">
        <v>13</v>
      </c>
      <c r="K148" s="55" t="str">
        <f>'Созвездия'!B6</f>
        <v/>
      </c>
      <c r="L148" s="78" t="s">
        <v>11</v>
      </c>
      <c r="M148" s="57">
        <f t="shared" si="1"/>
        <v>2</v>
      </c>
      <c r="N148" s="58"/>
      <c r="O148" s="29"/>
      <c r="P148" s="29"/>
      <c r="Q148" s="29"/>
      <c r="R148" s="29"/>
      <c r="S148" s="71" t="s">
        <v>214</v>
      </c>
      <c r="T148" s="60"/>
      <c r="U148" s="5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37.5" customHeight="1">
      <c r="A149" s="40">
        <v>144.0</v>
      </c>
      <c r="B149" s="112" t="s">
        <v>227</v>
      </c>
      <c r="C149" s="53" t="s">
        <v>228</v>
      </c>
      <c r="D149" s="54" t="str">
        <f>IMAGE("https://raw.githubusercontent.com/RedCat161/AoM/main/druid/druid7_200.jpg")</f>
        <v/>
      </c>
      <c r="E149" s="55" t="str">
        <f>'Созвездия'!B12</f>
        <v/>
      </c>
      <c r="F149" s="55" t="s">
        <v>17</v>
      </c>
      <c r="G149" s="55" t="str">
        <f>'Созвездия'!B12</f>
        <v/>
      </c>
      <c r="H149" s="55" t="s">
        <v>17</v>
      </c>
      <c r="I149" s="55" t="str">
        <f>'Созвездия'!B2</f>
        <v/>
      </c>
      <c r="J149" s="55" t="s">
        <v>2</v>
      </c>
      <c r="K149" s="55" t="str">
        <f>'Созвездия'!B12</f>
        <v/>
      </c>
      <c r="L149" s="56" t="s">
        <v>17</v>
      </c>
      <c r="M149" s="57">
        <f t="shared" si="1"/>
        <v>0</v>
      </c>
      <c r="N149" s="58"/>
      <c r="O149" s="58"/>
      <c r="P149" s="62"/>
      <c r="Q149" s="29"/>
      <c r="R149" s="29"/>
      <c r="S149" s="59"/>
      <c r="T149" s="60"/>
      <c r="U149" s="102" t="s">
        <v>229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37.5" customHeight="1">
      <c r="A150" s="40">
        <v>145.0</v>
      </c>
      <c r="B150" s="112" t="s">
        <v>227</v>
      </c>
      <c r="C150" s="89" t="s">
        <v>230</v>
      </c>
      <c r="D150" s="54" t="str">
        <f>IMAGE("https://raw.githubusercontent.com/RedCat161/AoM/main/druid/druid1_200.jpg")</f>
        <v/>
      </c>
      <c r="E150" s="55" t="str">
        <f>'Созвездия'!B10</f>
        <v/>
      </c>
      <c r="F150" s="55" t="s">
        <v>15</v>
      </c>
      <c r="G150" s="55" t="str">
        <f>'Созвездия'!B2</f>
        <v/>
      </c>
      <c r="H150" s="55" t="s">
        <v>2</v>
      </c>
      <c r="I150" s="55" t="str">
        <f>'Созвездия'!B8</f>
        <v/>
      </c>
      <c r="J150" s="55" t="s">
        <v>13</v>
      </c>
      <c r="K150" s="55" t="str">
        <f>'Созвездия'!B8</f>
        <v/>
      </c>
      <c r="L150" s="56" t="s">
        <v>13</v>
      </c>
      <c r="M150" s="57">
        <f t="shared" si="1"/>
        <v>1</v>
      </c>
      <c r="N150" s="58"/>
      <c r="O150" s="29"/>
      <c r="P150" s="29"/>
      <c r="Q150" s="29"/>
      <c r="R150" s="29"/>
      <c r="S150" s="59"/>
      <c r="T150" s="60"/>
      <c r="U150" s="102" t="s">
        <v>229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37.5" customHeight="1">
      <c r="A151" s="40">
        <v>146.0</v>
      </c>
      <c r="B151" s="112" t="s">
        <v>227</v>
      </c>
      <c r="C151" s="53" t="s">
        <v>231</v>
      </c>
      <c r="D151" s="54" t="str">
        <f>IMAGE("https://raw.githubusercontent.com/RedCat161/AoM/main/druid/druid8_200.jpg")</f>
        <v/>
      </c>
      <c r="E151" s="55" t="str">
        <f>'Созвездия'!B12</f>
        <v/>
      </c>
      <c r="F151" s="55" t="s">
        <v>17</v>
      </c>
      <c r="G151" s="55" t="str">
        <f>'Созвездия'!B12</f>
        <v/>
      </c>
      <c r="H151" s="55" t="s">
        <v>17</v>
      </c>
      <c r="I151" s="55" t="str">
        <f>'Созвездия'!B6</f>
        <v/>
      </c>
      <c r="J151" s="55" t="s">
        <v>11</v>
      </c>
      <c r="K151" s="55" t="str">
        <f>'Созвездия'!B4</f>
        <v/>
      </c>
      <c r="L151" s="56" t="s">
        <v>8</v>
      </c>
      <c r="M151" s="57">
        <f t="shared" si="1"/>
        <v>1</v>
      </c>
      <c r="N151" s="58"/>
      <c r="O151" s="29"/>
      <c r="P151" s="29"/>
      <c r="Q151" s="29"/>
      <c r="R151" s="29"/>
      <c r="S151" s="59"/>
      <c r="T151" s="60"/>
      <c r="U151" s="102" t="s">
        <v>229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37.5" customHeight="1">
      <c r="A152" s="40">
        <v>147.0</v>
      </c>
      <c r="B152" s="112" t="s">
        <v>227</v>
      </c>
      <c r="C152" s="113" t="s">
        <v>232</v>
      </c>
      <c r="D152" s="54" t="str">
        <f>IMAGE("https://raw.githubusercontent.com/RedCat161/AoM/main/druid/druid9_200.jpg")</f>
        <v/>
      </c>
      <c r="E152" s="55" t="str">
        <f>'Созвездия'!B5</f>
        <v/>
      </c>
      <c r="F152" s="55" t="s">
        <v>10</v>
      </c>
      <c r="G152" s="55" t="str">
        <f>'Созвездия'!B5</f>
        <v/>
      </c>
      <c r="H152" s="55" t="s">
        <v>10</v>
      </c>
      <c r="I152" s="55" t="str">
        <f>'Созвездия'!B5</f>
        <v/>
      </c>
      <c r="J152" s="55" t="s">
        <v>10</v>
      </c>
      <c r="K152" s="55" t="str">
        <f>'Созвездия'!B8</f>
        <v/>
      </c>
      <c r="L152" s="56" t="s">
        <v>13</v>
      </c>
      <c r="M152" s="57">
        <f t="shared" si="1"/>
        <v>1</v>
      </c>
      <c r="N152" s="58"/>
      <c r="O152" s="29"/>
      <c r="P152" s="29"/>
      <c r="Q152" s="29"/>
      <c r="R152" s="29"/>
      <c r="S152" s="59"/>
      <c r="T152" s="97" t="s">
        <v>233</v>
      </c>
      <c r="U152" s="5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37.5" customHeight="1">
      <c r="A153" s="40">
        <v>148.0</v>
      </c>
      <c r="B153" s="112" t="s">
        <v>227</v>
      </c>
      <c r="C153" s="53" t="s">
        <v>234</v>
      </c>
      <c r="D153" s="54" t="str">
        <f>IMAGE("https://raw.githubusercontent.com/RedCat161/AoM/main/druid/druid5_200.jpg")</f>
        <v/>
      </c>
      <c r="E153" s="55" t="str">
        <f>'Созвездия'!B8</f>
        <v/>
      </c>
      <c r="F153" s="55" t="s">
        <v>13</v>
      </c>
      <c r="G153" s="55" t="str">
        <f>'Созвездия'!B6</f>
        <v/>
      </c>
      <c r="H153" s="55" t="s">
        <v>11</v>
      </c>
      <c r="I153" s="55" t="str">
        <f>'Созвездия'!B8</f>
        <v/>
      </c>
      <c r="J153" s="55" t="s">
        <v>13</v>
      </c>
      <c r="K153" s="55" t="str">
        <f>'Созвездия'!B8</f>
        <v/>
      </c>
      <c r="L153" s="56" t="s">
        <v>13</v>
      </c>
      <c r="M153" s="57">
        <f t="shared" si="1"/>
        <v>2</v>
      </c>
      <c r="N153" s="61" t="s">
        <v>38</v>
      </c>
      <c r="O153" s="58"/>
      <c r="P153" s="29"/>
      <c r="Q153" s="29"/>
      <c r="R153" s="69" t="s">
        <v>50</v>
      </c>
      <c r="S153" s="59"/>
      <c r="T153" s="60"/>
      <c r="U153" s="102" t="s">
        <v>229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37.5" customHeight="1">
      <c r="A154" s="40">
        <v>149.0</v>
      </c>
      <c r="B154" s="112" t="s">
        <v>227</v>
      </c>
      <c r="C154" s="53" t="s">
        <v>235</v>
      </c>
      <c r="D154" s="54" t="str">
        <f>IMAGE("https://raw.githubusercontent.com/RedCat161/AoM/main/druid/druid6_200.jpg")</f>
        <v/>
      </c>
      <c r="E154" s="55" t="str">
        <f>'Созвездия'!B5</f>
        <v/>
      </c>
      <c r="F154" s="55" t="s">
        <v>10</v>
      </c>
      <c r="G154" s="55" t="str">
        <f>'Созвездия'!B5</f>
        <v/>
      </c>
      <c r="H154" s="55" t="s">
        <v>10</v>
      </c>
      <c r="I154" s="55" t="str">
        <f>'Созвездия'!B2</f>
        <v/>
      </c>
      <c r="J154" s="55" t="s">
        <v>2</v>
      </c>
      <c r="K154" s="55" t="str">
        <f>'Созвездия'!B2</f>
        <v/>
      </c>
      <c r="L154" s="56" t="s">
        <v>2</v>
      </c>
      <c r="M154" s="57">
        <f t="shared" si="1"/>
        <v>0</v>
      </c>
      <c r="N154" s="58"/>
      <c r="O154" s="61" t="s">
        <v>38</v>
      </c>
      <c r="P154" s="62"/>
      <c r="Q154" s="29"/>
      <c r="R154" s="69" t="s">
        <v>50</v>
      </c>
      <c r="S154" s="59"/>
      <c r="T154" s="60"/>
      <c r="U154" s="102" t="s">
        <v>229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37.5" customHeight="1">
      <c r="A155" s="40">
        <v>150.0</v>
      </c>
      <c r="B155" s="112" t="s">
        <v>227</v>
      </c>
      <c r="C155" s="53" t="s">
        <v>236</v>
      </c>
      <c r="D155" s="54" t="str">
        <f>IMAGE("https://raw.githubusercontent.com/RedCat161/AoM/main/druid/druid10_200.jpg")</f>
        <v/>
      </c>
      <c r="E155" s="55" t="str">
        <f>'Созвездия'!B3</f>
        <v/>
      </c>
      <c r="F155" s="55" t="s">
        <v>3</v>
      </c>
      <c r="G155" s="55" t="str">
        <f>'Созвездия'!B11</f>
        <v/>
      </c>
      <c r="H155" s="55" t="s">
        <v>16</v>
      </c>
      <c r="I155" s="55" t="str">
        <f>'Созвездия'!B3</f>
        <v/>
      </c>
      <c r="J155" s="55" t="s">
        <v>3</v>
      </c>
      <c r="K155" s="55" t="str">
        <f>'Созвездия'!B3</f>
        <v/>
      </c>
      <c r="L155" s="56" t="s">
        <v>3</v>
      </c>
      <c r="M155" s="57">
        <f t="shared" si="1"/>
        <v>1</v>
      </c>
      <c r="N155" s="58"/>
      <c r="O155" s="62"/>
      <c r="P155" s="62"/>
      <c r="Q155" s="29"/>
      <c r="R155" s="29"/>
      <c r="S155" s="59"/>
      <c r="T155" s="60"/>
      <c r="U155" s="102" t="s">
        <v>229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37.5" customHeight="1">
      <c r="A156" s="40">
        <v>151.0</v>
      </c>
      <c r="B156" s="112" t="s">
        <v>227</v>
      </c>
      <c r="C156" s="53" t="s">
        <v>237</v>
      </c>
      <c r="D156" s="54" t="str">
        <f>IMAGE("https://raw.githubusercontent.com/RedCat161/AoM/main/druid/druid11_200.jpg")</f>
        <v/>
      </c>
      <c r="E156" s="55" t="str">
        <f>'Созвездия'!B3</f>
        <v/>
      </c>
      <c r="F156" s="55" t="s">
        <v>3</v>
      </c>
      <c r="G156" s="55" t="str">
        <f>'Созвездия'!B8</f>
        <v/>
      </c>
      <c r="H156" s="55" t="s">
        <v>13</v>
      </c>
      <c r="I156" s="55" t="str">
        <f>'Созвездия'!B6</f>
        <v/>
      </c>
      <c r="J156" s="55" t="s">
        <v>11</v>
      </c>
      <c r="K156" s="55" t="str">
        <f>'Созвездия'!B13</f>
        <v/>
      </c>
      <c r="L156" s="56" t="s">
        <v>18</v>
      </c>
      <c r="M156" s="57">
        <f t="shared" si="1"/>
        <v>4</v>
      </c>
      <c r="N156" s="58"/>
      <c r="O156" s="29"/>
      <c r="P156" s="62"/>
      <c r="Q156" s="62"/>
      <c r="R156" s="29"/>
      <c r="S156" s="59"/>
      <c r="T156" s="60"/>
      <c r="U156" s="102" t="s">
        <v>229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37.5" customHeight="1">
      <c r="A157" s="40">
        <v>152.0</v>
      </c>
      <c r="B157" s="112" t="s">
        <v>227</v>
      </c>
      <c r="C157" s="53" t="s">
        <v>238</v>
      </c>
      <c r="D157" s="54" t="str">
        <f>IMAGE("https://raw.githubusercontent.com/RedCat161/AoM/main/druid/druid4_200.jpg")</f>
        <v/>
      </c>
      <c r="E157" s="55" t="str">
        <f>'Созвездия'!B5</f>
        <v/>
      </c>
      <c r="F157" s="55" t="s">
        <v>10</v>
      </c>
      <c r="G157" s="55" t="str">
        <f>'Созвездия'!B11</f>
        <v/>
      </c>
      <c r="H157" s="55" t="s">
        <v>16</v>
      </c>
      <c r="I157" s="55" t="str">
        <f>'Созвездия'!B6</f>
        <v/>
      </c>
      <c r="J157" s="55" t="s">
        <v>11</v>
      </c>
      <c r="K157" s="55" t="str">
        <f>'Созвездия'!B5</f>
        <v/>
      </c>
      <c r="L157" s="56" t="s">
        <v>10</v>
      </c>
      <c r="M157" s="57">
        <f t="shared" si="1"/>
        <v>1</v>
      </c>
      <c r="N157" s="58"/>
      <c r="O157" s="58"/>
      <c r="P157" s="58"/>
      <c r="Q157" s="29"/>
      <c r="R157" s="29"/>
      <c r="S157" s="59"/>
      <c r="T157" s="60"/>
      <c r="U157" s="102" t="s">
        <v>229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37.5" customHeight="1">
      <c r="A158" s="40">
        <v>153.0</v>
      </c>
      <c r="B158" s="112" t="s">
        <v>227</v>
      </c>
      <c r="C158" s="53" t="s">
        <v>239</v>
      </c>
      <c r="D158" s="54" t="str">
        <f>IMAGE("https://raw.githubusercontent.com/RedCat161/AoM/main/druid/druid3_200.jpg")</f>
        <v/>
      </c>
      <c r="E158" s="55" t="str">
        <f>'Созвездия'!B5</f>
        <v/>
      </c>
      <c r="F158" s="55" t="s">
        <v>10</v>
      </c>
      <c r="G158" s="55" t="str">
        <f>'Созвездия'!B5</f>
        <v/>
      </c>
      <c r="H158" s="55" t="s">
        <v>10</v>
      </c>
      <c r="I158" s="55" t="str">
        <f>'Созвездия'!B5</f>
        <v/>
      </c>
      <c r="J158" s="55" t="s">
        <v>10</v>
      </c>
      <c r="K158" s="55" t="str">
        <f>'Созвездия'!B9</f>
        <v/>
      </c>
      <c r="L158" s="56" t="s">
        <v>14</v>
      </c>
      <c r="M158" s="57">
        <f t="shared" si="1"/>
        <v>0</v>
      </c>
      <c r="N158" s="58"/>
      <c r="O158" s="61" t="s">
        <v>38</v>
      </c>
      <c r="P158" s="68" t="s">
        <v>38</v>
      </c>
      <c r="Q158" s="29"/>
      <c r="R158" s="29"/>
      <c r="S158" s="59"/>
      <c r="T158" s="60"/>
      <c r="U158" s="102" t="s">
        <v>229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37.5" customHeight="1">
      <c r="A159" s="40">
        <v>154.0</v>
      </c>
      <c r="B159" s="112" t="s">
        <v>227</v>
      </c>
      <c r="C159" s="53" t="s">
        <v>240</v>
      </c>
      <c r="D159" s="54" t="str">
        <f>IMAGE("https://raw.githubusercontent.com/RedCat161/AoM/main/druid/druid2_200.jpg")</f>
        <v/>
      </c>
      <c r="E159" s="55" t="str">
        <f>'Созвездия'!B5</f>
        <v/>
      </c>
      <c r="F159" s="55" t="s">
        <v>10</v>
      </c>
      <c r="G159" s="55" t="str">
        <f>'Созвездия'!B5</f>
        <v/>
      </c>
      <c r="H159" s="55" t="s">
        <v>10</v>
      </c>
      <c r="I159" s="55" t="str">
        <f>'Созвездия'!B5</f>
        <v/>
      </c>
      <c r="J159" s="55" t="s">
        <v>10</v>
      </c>
      <c r="K159" s="55" t="str">
        <f>'Созвездия'!B10</f>
        <v/>
      </c>
      <c r="L159" s="56" t="s">
        <v>15</v>
      </c>
      <c r="M159" s="57">
        <f t="shared" si="1"/>
        <v>0</v>
      </c>
      <c r="N159" s="58"/>
      <c r="O159" s="68" t="s">
        <v>38</v>
      </c>
      <c r="P159" s="61" t="s">
        <v>38</v>
      </c>
      <c r="Q159" s="29"/>
      <c r="R159" s="69" t="s">
        <v>183</v>
      </c>
      <c r="S159" s="59"/>
      <c r="T159" s="60"/>
      <c r="U159" s="102" t="s">
        <v>229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37.5" customHeight="1">
      <c r="A160" s="40">
        <v>155.0</v>
      </c>
      <c r="B160" s="114" t="s">
        <v>241</v>
      </c>
      <c r="C160" s="53" t="s">
        <v>242</v>
      </c>
      <c r="D160" s="54" t="str">
        <f>IMAGE("https://raw.githubusercontent.com/RedCat161/AoM/main/dragon/dragon1_200.jpg")</f>
        <v/>
      </c>
      <c r="E160" s="55" t="str">
        <f>'Созвездия'!B8</f>
        <v/>
      </c>
      <c r="F160" s="55" t="s">
        <v>13</v>
      </c>
      <c r="G160" s="55" t="str">
        <f>'Созвездия'!B8</f>
        <v/>
      </c>
      <c r="H160" s="55" t="s">
        <v>13</v>
      </c>
      <c r="I160" s="55" t="str">
        <f>'Созвездия'!B11</f>
        <v/>
      </c>
      <c r="J160" s="55" t="s">
        <v>16</v>
      </c>
      <c r="K160" s="55" t="str">
        <f>'Созвездия'!B11</f>
        <v/>
      </c>
      <c r="L160" s="56" t="s">
        <v>16</v>
      </c>
      <c r="M160" s="57">
        <f t="shared" si="1"/>
        <v>1</v>
      </c>
      <c r="N160" s="61" t="s">
        <v>38</v>
      </c>
      <c r="O160" s="29"/>
      <c r="P160" s="62"/>
      <c r="Q160" s="29"/>
      <c r="R160" s="29"/>
      <c r="S160" s="59"/>
      <c r="T160" s="60"/>
      <c r="U160" s="5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37.5" customHeight="1">
      <c r="A161" s="40">
        <v>156.0</v>
      </c>
      <c r="B161" s="114" t="s">
        <v>241</v>
      </c>
      <c r="C161" s="89" t="s">
        <v>243</v>
      </c>
      <c r="D161" s="54" t="str">
        <f>IMAGE("https://raw.githubusercontent.com/RedCat161/AoM/main/dragon/dragon4_200.jpg")</f>
        <v/>
      </c>
      <c r="E161" s="55" t="str">
        <f>'Созвездия'!B8</f>
        <v/>
      </c>
      <c r="F161" s="55" t="s">
        <v>13</v>
      </c>
      <c r="G161" s="55" t="str">
        <f>'Созвездия'!B12</f>
        <v/>
      </c>
      <c r="H161" s="55" t="s">
        <v>17</v>
      </c>
      <c r="I161" s="55" t="str">
        <f>'Созвездия'!B6</f>
        <v/>
      </c>
      <c r="J161" s="55" t="s">
        <v>11</v>
      </c>
      <c r="K161" s="55" t="str">
        <f>'Созвездия'!B12</f>
        <v/>
      </c>
      <c r="L161" s="55" t="s">
        <v>17</v>
      </c>
      <c r="M161" s="57">
        <f t="shared" si="1"/>
        <v>2</v>
      </c>
      <c r="N161" s="58"/>
      <c r="O161" s="29"/>
      <c r="P161" s="29"/>
      <c r="Q161" s="29"/>
      <c r="R161" s="29"/>
      <c r="S161" s="59"/>
      <c r="T161" s="60"/>
      <c r="U161" s="5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37.5" customHeight="1">
      <c r="A162" s="40">
        <v>157.0</v>
      </c>
      <c r="B162" s="114" t="s">
        <v>241</v>
      </c>
      <c r="C162" s="53" t="s">
        <v>244</v>
      </c>
      <c r="D162" s="54" t="str">
        <f>IMAGE("https://raw.githubusercontent.com/RedCat161/AoM/main/dragon/dragon2_200.jpg")</f>
        <v/>
      </c>
      <c r="E162" s="55" t="str">
        <f>'Созвездия'!B11</f>
        <v/>
      </c>
      <c r="F162" s="55" t="s">
        <v>16</v>
      </c>
      <c r="G162" s="55" t="str">
        <f>'Созвездия'!B13</f>
        <v/>
      </c>
      <c r="H162" s="55" t="s">
        <v>18</v>
      </c>
      <c r="I162" s="55" t="str">
        <f>'Созвездия'!B2</f>
        <v/>
      </c>
      <c r="J162" s="55" t="s">
        <v>2</v>
      </c>
      <c r="K162" s="55" t="str">
        <f>'Созвездия'!B7</f>
        <v/>
      </c>
      <c r="L162" s="56" t="s">
        <v>12</v>
      </c>
      <c r="M162" s="57">
        <f t="shared" si="1"/>
        <v>1</v>
      </c>
      <c r="N162" s="58"/>
      <c r="O162" s="29"/>
      <c r="P162" s="62"/>
      <c r="Q162" s="29"/>
      <c r="R162" s="29"/>
      <c r="S162" s="59"/>
      <c r="T162" s="60"/>
      <c r="U162" s="5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37.5" customHeight="1">
      <c r="A163" s="40">
        <v>158.0</v>
      </c>
      <c r="B163" s="114" t="s">
        <v>241</v>
      </c>
      <c r="C163" s="53" t="s">
        <v>245</v>
      </c>
      <c r="D163" s="54" t="str">
        <f>IMAGE("https://raw.githubusercontent.com/RedCat161/AoM/main/dragon/dragon7_200.jpg")</f>
        <v/>
      </c>
      <c r="E163" s="55" t="str">
        <f>'Созвездия'!B10</f>
        <v/>
      </c>
      <c r="F163" s="55" t="s">
        <v>15</v>
      </c>
      <c r="G163" s="55" t="str">
        <f>'Созвездия'!B6</f>
        <v/>
      </c>
      <c r="H163" s="55" t="s">
        <v>11</v>
      </c>
      <c r="I163" s="55" t="str">
        <f>'Созвездия'!B11</f>
        <v/>
      </c>
      <c r="J163" s="55" t="s">
        <v>16</v>
      </c>
      <c r="K163" s="55" t="str">
        <f>'Созвездия'!B10</f>
        <v/>
      </c>
      <c r="L163" s="56" t="s">
        <v>15</v>
      </c>
      <c r="M163" s="57">
        <f t="shared" si="1"/>
        <v>1</v>
      </c>
      <c r="N163" s="58"/>
      <c r="O163" s="58"/>
      <c r="P163" s="62"/>
      <c r="Q163" s="29"/>
      <c r="R163" s="69" t="s">
        <v>50</v>
      </c>
      <c r="S163" s="59"/>
      <c r="T163" s="60"/>
      <c r="U163" s="5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37.5" customHeight="1">
      <c r="A164" s="40">
        <v>159.0</v>
      </c>
      <c r="B164" s="114" t="s">
        <v>241</v>
      </c>
      <c r="C164" s="53" t="s">
        <v>246</v>
      </c>
      <c r="D164" s="54" t="str">
        <f>IMAGE("https://raw.githubusercontent.com/RedCat161/AoM/main/dragon/dragon5_200.jpg")</f>
        <v/>
      </c>
      <c r="E164" s="55" t="str">
        <f>'Созвездия'!B9</f>
        <v/>
      </c>
      <c r="F164" s="55" t="s">
        <v>14</v>
      </c>
      <c r="G164" s="55" t="str">
        <f>'Созвездия'!B10</f>
        <v/>
      </c>
      <c r="H164" s="55" t="s">
        <v>15</v>
      </c>
      <c r="I164" s="55" t="str">
        <f>'Созвездия'!B6</f>
        <v/>
      </c>
      <c r="J164" s="55" t="s">
        <v>11</v>
      </c>
      <c r="K164" s="55" t="str">
        <f>'Созвездия'!B10</f>
        <v/>
      </c>
      <c r="L164" s="56" t="s">
        <v>15</v>
      </c>
      <c r="M164" s="57">
        <f t="shared" si="1"/>
        <v>1</v>
      </c>
      <c r="N164" s="58"/>
      <c r="O164" s="61" t="s">
        <v>38</v>
      </c>
      <c r="P164" s="29"/>
      <c r="Q164" s="29"/>
      <c r="R164" s="71" t="s">
        <v>152</v>
      </c>
      <c r="S164" s="59"/>
      <c r="T164" s="60"/>
      <c r="U164" s="5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37.5" customHeight="1">
      <c r="A165" s="40">
        <v>160.0</v>
      </c>
      <c r="B165" s="114" t="s">
        <v>241</v>
      </c>
      <c r="C165" s="53" t="s">
        <v>247</v>
      </c>
      <c r="D165" s="54" t="str">
        <f>IMAGE("https://raw.githubusercontent.com/RedCat161/AoM/main/dragon/dragon3_200.jpg")</f>
        <v/>
      </c>
      <c r="E165" s="55" t="str">
        <f>'Созвездия'!B11</f>
        <v/>
      </c>
      <c r="F165" s="55" t="s">
        <v>16</v>
      </c>
      <c r="G165" s="55" t="str">
        <f>'Созвездия'!B8</f>
        <v/>
      </c>
      <c r="H165" s="55" t="s">
        <v>13</v>
      </c>
      <c r="I165" s="55" t="str">
        <f>'Созвездия'!B8</f>
        <v/>
      </c>
      <c r="J165" s="55" t="s">
        <v>13</v>
      </c>
      <c r="K165" s="55" t="str">
        <f>'Созвездия'!B8</f>
        <v/>
      </c>
      <c r="L165" s="56" t="s">
        <v>13</v>
      </c>
      <c r="M165" s="57">
        <f t="shared" si="1"/>
        <v>1</v>
      </c>
      <c r="N165" s="58"/>
      <c r="O165" s="29"/>
      <c r="P165" s="29"/>
      <c r="Q165" s="62"/>
      <c r="R165" s="29"/>
      <c r="S165" s="59"/>
      <c r="T165" s="60"/>
      <c r="U165" s="5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37.5" customHeight="1">
      <c r="A166" s="40">
        <v>161.0</v>
      </c>
      <c r="B166" s="114" t="s">
        <v>241</v>
      </c>
      <c r="C166" s="53" t="s">
        <v>248</v>
      </c>
      <c r="D166" s="54" t="str">
        <f>IMAGE("https://raw.githubusercontent.com/RedCat161/AoM/main/dragon/dragon6_200.jpg")</f>
        <v/>
      </c>
      <c r="E166" s="55" t="str">
        <f>'Созвездия'!B5</f>
        <v/>
      </c>
      <c r="F166" s="55" t="s">
        <v>10</v>
      </c>
      <c r="G166" s="55" t="str">
        <f>'Созвездия'!B6</f>
        <v/>
      </c>
      <c r="H166" s="55" t="s">
        <v>11</v>
      </c>
      <c r="I166" s="55" t="str">
        <f>'Созвездия'!B6</f>
        <v/>
      </c>
      <c r="J166" s="55" t="s">
        <v>11</v>
      </c>
      <c r="K166" s="55" t="str">
        <f>'Созвездия'!B6</f>
        <v/>
      </c>
      <c r="L166" s="56" t="s">
        <v>11</v>
      </c>
      <c r="M166" s="57">
        <f t="shared" si="1"/>
        <v>1</v>
      </c>
      <c r="N166" s="58"/>
      <c r="O166" s="58"/>
      <c r="P166" s="58"/>
      <c r="Q166" s="29"/>
      <c r="R166" s="29"/>
      <c r="S166" s="59"/>
      <c r="T166" s="60"/>
      <c r="U166" s="5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37.5" customHeight="1">
      <c r="A167" s="40">
        <v>162.0</v>
      </c>
      <c r="B167" s="115" t="s">
        <v>249</v>
      </c>
      <c r="C167" s="53" t="s">
        <v>250</v>
      </c>
      <c r="D167" s="54" t="str">
        <f>IMAGE("https://raw.githubusercontent.com/RedCat161/AoM/main/demon/demon3_200.jpg")</f>
        <v/>
      </c>
      <c r="E167" s="55" t="str">
        <f>'Созвездия'!B3</f>
        <v/>
      </c>
      <c r="F167" s="55" t="s">
        <v>3</v>
      </c>
      <c r="G167" s="55" t="str">
        <f>'Созвездия'!B12</f>
        <v/>
      </c>
      <c r="H167" s="55" t="s">
        <v>17</v>
      </c>
      <c r="I167" s="55" t="str">
        <f>'Созвездия'!B10</f>
        <v/>
      </c>
      <c r="J167" s="55" t="s">
        <v>15</v>
      </c>
      <c r="K167" s="55" t="str">
        <f>'Созвездия'!B12</f>
        <v/>
      </c>
      <c r="L167" s="56" t="s">
        <v>17</v>
      </c>
      <c r="M167" s="57">
        <f t="shared" si="1"/>
        <v>1</v>
      </c>
      <c r="N167" s="58"/>
      <c r="O167" s="62"/>
      <c r="P167" s="62"/>
      <c r="Q167" s="29"/>
      <c r="R167" s="29"/>
      <c r="S167" s="59"/>
      <c r="T167" s="60"/>
      <c r="U167" s="79" t="s">
        <v>114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37.5" customHeight="1">
      <c r="A168" s="40">
        <v>163.0</v>
      </c>
      <c r="B168" s="115" t="s">
        <v>249</v>
      </c>
      <c r="C168" s="89" t="s">
        <v>251</v>
      </c>
      <c r="D168" s="54" t="str">
        <f>IMAGE("https://raw.githubusercontent.com/RedCat161/AoM/main/demon/demon2_200.jpg")</f>
        <v/>
      </c>
      <c r="E168" s="55" t="str">
        <f>'Созвездия'!B3</f>
        <v/>
      </c>
      <c r="F168" s="55" t="s">
        <v>3</v>
      </c>
      <c r="G168" s="55" t="str">
        <f>'Созвездия'!B3</f>
        <v/>
      </c>
      <c r="H168" s="55" t="s">
        <v>3</v>
      </c>
      <c r="I168" s="55" t="str">
        <f>'Созвездия'!B11</f>
        <v/>
      </c>
      <c r="J168" s="55" t="s">
        <v>16</v>
      </c>
      <c r="K168" s="55" t="str">
        <f>'Созвездия'!B11</f>
        <v/>
      </c>
      <c r="L168" s="56" t="s">
        <v>16</v>
      </c>
      <c r="M168" s="57">
        <f t="shared" si="1"/>
        <v>1</v>
      </c>
      <c r="N168" s="58"/>
      <c r="O168" s="62"/>
      <c r="P168" s="62"/>
      <c r="Q168" s="29"/>
      <c r="R168" s="29"/>
      <c r="S168" s="59"/>
      <c r="T168" s="60"/>
      <c r="U168" s="79" t="s">
        <v>114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37.5" customHeight="1">
      <c r="A169" s="40">
        <v>164.0</v>
      </c>
      <c r="B169" s="115" t="s">
        <v>249</v>
      </c>
      <c r="C169" s="53" t="s">
        <v>252</v>
      </c>
      <c r="D169" s="54" t="str">
        <f>IMAGE("https://raw.githubusercontent.com/RedCat161/AoM/main/demon/demon1_200.jpg")</f>
        <v/>
      </c>
      <c r="E169" s="55" t="str">
        <f>'Созвездия'!B9</f>
        <v/>
      </c>
      <c r="F169" s="55" t="s">
        <v>14</v>
      </c>
      <c r="G169" s="55" t="str">
        <f>'Созвездия'!B3</f>
        <v/>
      </c>
      <c r="H169" s="55" t="s">
        <v>3</v>
      </c>
      <c r="I169" s="55" t="str">
        <f>'Созвездия'!B5</f>
        <v/>
      </c>
      <c r="J169" s="55" t="s">
        <v>10</v>
      </c>
      <c r="K169" s="55" t="str">
        <f>'Созвездия'!B5</f>
        <v/>
      </c>
      <c r="L169" s="56" t="s">
        <v>10</v>
      </c>
      <c r="M169" s="57">
        <f t="shared" si="1"/>
        <v>1</v>
      </c>
      <c r="N169" s="61" t="s">
        <v>38</v>
      </c>
      <c r="O169" s="68" t="s">
        <v>38</v>
      </c>
      <c r="P169" s="62"/>
      <c r="Q169" s="29"/>
      <c r="R169" s="29"/>
      <c r="S169" s="59"/>
      <c r="T169" s="97" t="s">
        <v>253</v>
      </c>
      <c r="U169" s="79" t="s">
        <v>114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37.5" customHeight="1">
      <c r="A170" s="40">
        <v>165.0</v>
      </c>
      <c r="B170" s="115" t="s">
        <v>249</v>
      </c>
      <c r="C170" s="53" t="s">
        <v>254</v>
      </c>
      <c r="D170" s="54" t="str">
        <f>IMAGE("https://raw.githubusercontent.com/RedCat161/AoM/main/demon/demon4_200.jpg")</f>
        <v/>
      </c>
      <c r="E170" s="55" t="str">
        <f>'Созвездия'!B3</f>
        <v/>
      </c>
      <c r="F170" s="55" t="s">
        <v>3</v>
      </c>
      <c r="G170" s="55" t="str">
        <f>'Созвездия'!B13</f>
        <v/>
      </c>
      <c r="H170" s="55" t="s">
        <v>18</v>
      </c>
      <c r="I170" s="55" t="str">
        <f>'Созвездия'!B12</f>
        <v/>
      </c>
      <c r="J170" s="55" t="s">
        <v>17</v>
      </c>
      <c r="K170" s="55" t="str">
        <f>'Созвездия'!B7</f>
        <v/>
      </c>
      <c r="L170" s="56" t="s">
        <v>12</v>
      </c>
      <c r="M170" s="57">
        <f t="shared" si="1"/>
        <v>2</v>
      </c>
      <c r="N170" s="58"/>
      <c r="O170" s="58"/>
      <c r="P170" s="62"/>
      <c r="Q170" s="29"/>
      <c r="R170" s="29"/>
      <c r="S170" s="59"/>
      <c r="T170" s="60"/>
      <c r="U170" s="79" t="s">
        <v>114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37.5" customHeight="1">
      <c r="A171" s="40">
        <v>166.0</v>
      </c>
      <c r="B171" s="115" t="s">
        <v>249</v>
      </c>
      <c r="C171" s="89" t="s">
        <v>255</v>
      </c>
      <c r="D171" s="54" t="str">
        <f>IMAGE("https://raw.githubusercontent.com/RedCat161/AoM/main/demon/demon9_200.jpg")</f>
        <v/>
      </c>
      <c r="E171" s="55" t="str">
        <f>'Созвездия'!B11</f>
        <v/>
      </c>
      <c r="F171" s="55" t="s">
        <v>16</v>
      </c>
      <c r="G171" s="55" t="str">
        <f>'Созвездия'!B5</f>
        <v/>
      </c>
      <c r="H171" s="55" t="s">
        <v>10</v>
      </c>
      <c r="I171" s="55" t="str">
        <f>'Созвездия'!B9</f>
        <v/>
      </c>
      <c r="J171" s="55" t="s">
        <v>14</v>
      </c>
      <c r="K171" s="55" t="str">
        <f>'Созвездия'!B5</f>
        <v/>
      </c>
      <c r="L171" s="56" t="s">
        <v>10</v>
      </c>
      <c r="M171" s="57">
        <f t="shared" si="1"/>
        <v>0</v>
      </c>
      <c r="N171" s="116"/>
      <c r="O171" s="116"/>
      <c r="P171" s="116"/>
      <c r="Q171" s="29"/>
      <c r="R171" s="29"/>
      <c r="S171" s="59"/>
      <c r="T171" s="60"/>
      <c r="U171" s="79" t="s">
        <v>114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37.5" customHeight="1">
      <c r="A172" s="40">
        <v>167.0</v>
      </c>
      <c r="B172" s="115" t="s">
        <v>249</v>
      </c>
      <c r="C172" s="53" t="s">
        <v>256</v>
      </c>
      <c r="D172" s="54" t="str">
        <f>IMAGE("https://raw.githubusercontent.com/RedCat161/AoM/main/demon/demon7_200.jpg")</f>
        <v/>
      </c>
      <c r="E172" s="55" t="str">
        <f>'Созвездия'!B5</f>
        <v/>
      </c>
      <c r="F172" s="55" t="s">
        <v>10</v>
      </c>
      <c r="G172" s="55" t="str">
        <f>'Созвездия'!B5</f>
        <v/>
      </c>
      <c r="H172" s="55" t="s">
        <v>10</v>
      </c>
      <c r="I172" s="55" t="str">
        <f>'Созвездия'!B3</f>
        <v/>
      </c>
      <c r="J172" s="55" t="s">
        <v>3</v>
      </c>
      <c r="K172" s="55" t="str">
        <f>'Созвездия'!B3</f>
        <v/>
      </c>
      <c r="L172" s="56" t="s">
        <v>3</v>
      </c>
      <c r="M172" s="57">
        <f t="shared" si="1"/>
        <v>1</v>
      </c>
      <c r="N172" s="58"/>
      <c r="O172" s="58"/>
      <c r="P172" s="62"/>
      <c r="Q172" s="29"/>
      <c r="R172" s="29"/>
      <c r="S172" s="59"/>
      <c r="T172" s="60"/>
      <c r="U172" s="79" t="s">
        <v>114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37.5" customHeight="1">
      <c r="A173" s="40">
        <v>168.0</v>
      </c>
      <c r="B173" s="115" t="s">
        <v>249</v>
      </c>
      <c r="C173" s="53" t="s">
        <v>257</v>
      </c>
      <c r="D173" s="54" t="str">
        <f>IMAGE("https://raw.githubusercontent.com/RedCat161/AoM/main/demon/demon8_200.jpg")</f>
        <v/>
      </c>
      <c r="E173" s="55" t="str">
        <f>'Созвездия'!B3</f>
        <v/>
      </c>
      <c r="F173" s="55" t="s">
        <v>3</v>
      </c>
      <c r="G173" s="55" t="str">
        <f>'Созвездия'!B12</f>
        <v/>
      </c>
      <c r="H173" s="55" t="s">
        <v>17</v>
      </c>
      <c r="I173" s="55" t="str">
        <f>'Созвездия'!B3</f>
        <v/>
      </c>
      <c r="J173" s="55" t="s">
        <v>3</v>
      </c>
      <c r="K173" s="55" t="str">
        <f>'Созвездия'!B12</f>
        <v/>
      </c>
      <c r="L173" s="56" t="s">
        <v>17</v>
      </c>
      <c r="M173" s="57">
        <f t="shared" si="1"/>
        <v>1</v>
      </c>
      <c r="N173" s="58"/>
      <c r="O173" s="62"/>
      <c r="P173" s="62"/>
      <c r="Q173" s="29"/>
      <c r="R173" s="29"/>
      <c r="S173" s="59"/>
      <c r="T173" s="60"/>
      <c r="U173" s="79" t="s">
        <v>114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37.5" customHeight="1">
      <c r="A174" s="40">
        <v>169.0</v>
      </c>
      <c r="B174" s="115" t="s">
        <v>249</v>
      </c>
      <c r="C174" s="53" t="s">
        <v>258</v>
      </c>
      <c r="D174" s="54" t="str">
        <f>IMAGE("https://raw.githubusercontent.com/RedCat161/AoM/main/demon/demon6_200.jpg")</f>
        <v/>
      </c>
      <c r="E174" s="55" t="str">
        <f>'Созвездия'!B11</f>
        <v/>
      </c>
      <c r="F174" s="55" t="s">
        <v>16</v>
      </c>
      <c r="G174" s="55" t="str">
        <f>'Созвездия'!B11</f>
        <v/>
      </c>
      <c r="H174" s="55" t="s">
        <v>16</v>
      </c>
      <c r="I174" s="55" t="str">
        <f>'Созвездия'!B5</f>
        <v/>
      </c>
      <c r="J174" s="55" t="s">
        <v>10</v>
      </c>
      <c r="K174" s="55" t="str">
        <f>'Созвездия'!B5</f>
        <v/>
      </c>
      <c r="L174" s="56" t="s">
        <v>10</v>
      </c>
      <c r="M174" s="57">
        <f t="shared" si="1"/>
        <v>0</v>
      </c>
      <c r="N174" s="58"/>
      <c r="O174" s="117"/>
      <c r="P174" s="118"/>
      <c r="Q174" s="29"/>
      <c r="R174" s="29"/>
      <c r="S174" s="59"/>
      <c r="T174" s="60"/>
      <c r="U174" s="79" t="s">
        <v>114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37.5" customHeight="1">
      <c r="A175" s="40">
        <v>170.0</v>
      </c>
      <c r="B175" s="115" t="s">
        <v>249</v>
      </c>
      <c r="C175" s="53" t="s">
        <v>259</v>
      </c>
      <c r="D175" s="54" t="str">
        <f>IMAGE("https://raw.githubusercontent.com/RedCat161/AoM/main/demon/demon5_200.jpg")</f>
        <v/>
      </c>
      <c r="E175" s="55" t="str">
        <f>'Созвездия'!B5</f>
        <v/>
      </c>
      <c r="F175" s="55" t="s">
        <v>10</v>
      </c>
      <c r="G175" s="55" t="str">
        <f>'Созвездия'!B5</f>
        <v/>
      </c>
      <c r="H175" s="55" t="s">
        <v>10</v>
      </c>
      <c r="I175" s="55" t="str">
        <f>'Созвездия'!B10</f>
        <v/>
      </c>
      <c r="J175" s="55" t="s">
        <v>15</v>
      </c>
      <c r="K175" s="55" t="str">
        <f>'Созвездия'!B13</f>
        <v/>
      </c>
      <c r="L175" s="56" t="s">
        <v>18</v>
      </c>
      <c r="M175" s="57">
        <f t="shared" si="1"/>
        <v>1</v>
      </c>
      <c r="N175" s="58"/>
      <c r="O175" s="29"/>
      <c r="P175" s="29"/>
      <c r="Q175" s="29"/>
      <c r="R175" s="29"/>
      <c r="S175" s="59"/>
      <c r="T175" s="60"/>
      <c r="U175" s="79" t="s">
        <v>114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37.5" customHeight="1">
      <c r="A176" s="40">
        <v>171.0</v>
      </c>
      <c r="B176" s="119" t="s">
        <v>260</v>
      </c>
      <c r="C176" s="89" t="s">
        <v>261</v>
      </c>
      <c r="D176" s="54" t="str">
        <f>IMAGE("https://raw.githubusercontent.com/RedCat161/AoM/main/Goblin/Goblin1_200.jpg")</f>
        <v/>
      </c>
      <c r="E176" s="55" t="str">
        <f>'Созвездия'!B5</f>
        <v/>
      </c>
      <c r="F176" s="55" t="s">
        <v>10</v>
      </c>
      <c r="G176" s="55" t="str">
        <f>'Созвездия'!B11</f>
        <v/>
      </c>
      <c r="H176" s="55" t="s">
        <v>16</v>
      </c>
      <c r="I176" s="55" t="str">
        <f>'Созвездия'!B11</f>
        <v/>
      </c>
      <c r="J176" s="55" t="s">
        <v>16</v>
      </c>
      <c r="K176" s="55" t="str">
        <f>'Созвездия'!B11</f>
        <v/>
      </c>
      <c r="L176" s="56" t="s">
        <v>16</v>
      </c>
      <c r="M176" s="57">
        <f t="shared" si="1"/>
        <v>0</v>
      </c>
      <c r="N176" s="58"/>
      <c r="O176" s="29"/>
      <c r="P176" s="29"/>
      <c r="Q176" s="58"/>
      <c r="R176" s="29"/>
      <c r="S176" s="59"/>
      <c r="T176" s="60"/>
      <c r="U176" s="79" t="s">
        <v>262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37.5" customHeight="1">
      <c r="A177" s="40">
        <v>172.0</v>
      </c>
      <c r="B177" s="119" t="s">
        <v>260</v>
      </c>
      <c r="C177" s="89" t="s">
        <v>263</v>
      </c>
      <c r="D177" s="54" t="str">
        <f>IMAGE("https://raw.githubusercontent.com/RedCat161/AoM/main/Goblin/Goblin5_200.jpg")</f>
        <v/>
      </c>
      <c r="E177" s="55" t="str">
        <f>'Созвездия'!B8</f>
        <v/>
      </c>
      <c r="F177" s="55" t="s">
        <v>13</v>
      </c>
      <c r="G177" s="55" t="str">
        <f>'Созвездия'!B8</f>
        <v/>
      </c>
      <c r="H177" s="55" t="s">
        <v>13</v>
      </c>
      <c r="I177" s="55" t="str">
        <f>'Созвездия'!B6</f>
        <v/>
      </c>
      <c r="J177" s="55" t="s">
        <v>11</v>
      </c>
      <c r="K177" s="55" t="str">
        <f>'Созвездия'!B6</f>
        <v/>
      </c>
      <c r="L177" s="56" t="s">
        <v>11</v>
      </c>
      <c r="M177" s="57">
        <f t="shared" si="1"/>
        <v>2</v>
      </c>
      <c r="N177" s="58"/>
      <c r="O177" s="29"/>
      <c r="P177" s="62"/>
      <c r="Q177" s="29"/>
      <c r="R177" s="69" t="s">
        <v>50</v>
      </c>
      <c r="S177" s="59"/>
      <c r="T177" s="60"/>
      <c r="U177" s="79" t="s">
        <v>264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37.5" customHeight="1">
      <c r="A178" s="40">
        <v>173.0</v>
      </c>
      <c r="B178" s="119" t="s">
        <v>260</v>
      </c>
      <c r="C178" s="89" t="s">
        <v>265</v>
      </c>
      <c r="D178" s="54" t="str">
        <f>IMAGE("https://raw.githubusercontent.com/RedCat161/AoM/main/Goblin/Goblin4_200.jpg")</f>
        <v/>
      </c>
      <c r="E178" s="55" t="str">
        <f>'Созвездия'!B10</f>
        <v/>
      </c>
      <c r="F178" s="55" t="s">
        <v>15</v>
      </c>
      <c r="G178" s="55" t="str">
        <f>'Созвездия'!B6</f>
        <v/>
      </c>
      <c r="H178" s="55" t="s">
        <v>11</v>
      </c>
      <c r="I178" s="55" t="str">
        <f>'Созвездия'!B6</f>
        <v/>
      </c>
      <c r="J178" s="55" t="s">
        <v>11</v>
      </c>
      <c r="K178" s="55" t="str">
        <f>'Созвездия'!B2</f>
        <v/>
      </c>
      <c r="L178" s="56" t="s">
        <v>2</v>
      </c>
      <c r="M178" s="57">
        <f t="shared" si="1"/>
        <v>1</v>
      </c>
      <c r="N178" s="58"/>
      <c r="O178" s="29"/>
      <c r="P178" s="29"/>
      <c r="Q178" s="29"/>
      <c r="R178" s="29"/>
      <c r="S178" s="59"/>
      <c r="T178" s="60"/>
      <c r="U178" s="79" t="s">
        <v>266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37.5" customHeight="1">
      <c r="A179" s="40">
        <v>174.0</v>
      </c>
      <c r="B179" s="119" t="s">
        <v>260</v>
      </c>
      <c r="C179" s="89" t="s">
        <v>267</v>
      </c>
      <c r="D179" s="54" t="str">
        <f>IMAGE("https://raw.githubusercontent.com/RedCat161/AoM/main/Goblin/Goblin3_200.jpg")</f>
        <v/>
      </c>
      <c r="E179" s="55" t="str">
        <f>'Созвездия'!B6</f>
        <v/>
      </c>
      <c r="F179" s="55" t="s">
        <v>11</v>
      </c>
      <c r="G179" s="55" t="str">
        <f>'Созвездия'!B6</f>
        <v/>
      </c>
      <c r="H179" s="55" t="s">
        <v>11</v>
      </c>
      <c r="I179" s="55" t="str">
        <f>'Созвездия'!B12</f>
        <v/>
      </c>
      <c r="J179" s="55" t="s">
        <v>17</v>
      </c>
      <c r="K179" s="55" t="str">
        <f>'Созвездия'!B12</f>
        <v/>
      </c>
      <c r="L179" s="56" t="s">
        <v>17</v>
      </c>
      <c r="M179" s="57">
        <f t="shared" si="1"/>
        <v>1</v>
      </c>
      <c r="N179" s="58"/>
      <c r="O179" s="61" t="s">
        <v>38</v>
      </c>
      <c r="P179" s="58"/>
      <c r="Q179" s="29"/>
      <c r="R179" s="29"/>
      <c r="S179" s="59"/>
      <c r="T179" s="60"/>
      <c r="U179" s="79" t="s">
        <v>268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37.5" customHeight="1">
      <c r="A180" s="40">
        <v>175.0</v>
      </c>
      <c r="B180" s="119" t="s">
        <v>260</v>
      </c>
      <c r="C180" s="89" t="s">
        <v>269</v>
      </c>
      <c r="D180" s="54" t="str">
        <f>IMAGE("https://raw.githubusercontent.com/RedCat161/AoM/main/Goblin/Goblin2_200.jpg")</f>
        <v/>
      </c>
      <c r="E180" s="55" t="str">
        <f>'Созвездия'!B11</f>
        <v/>
      </c>
      <c r="F180" s="55" t="s">
        <v>16</v>
      </c>
      <c r="G180" s="55" t="str">
        <f>'Созвездия'!B11</f>
        <v/>
      </c>
      <c r="H180" s="55" t="s">
        <v>16</v>
      </c>
      <c r="I180" s="55" t="str">
        <f>'Созвездия'!B2</f>
        <v/>
      </c>
      <c r="J180" s="55" t="s">
        <v>2</v>
      </c>
      <c r="K180" s="55" t="str">
        <f>'Созвездия'!B2</f>
        <v/>
      </c>
      <c r="L180" s="56" t="s">
        <v>2</v>
      </c>
      <c r="M180" s="57">
        <f t="shared" si="1"/>
        <v>0</v>
      </c>
      <c r="N180" s="58"/>
      <c r="O180" s="58"/>
      <c r="P180" s="62"/>
      <c r="Q180" s="29"/>
      <c r="R180" s="29"/>
      <c r="S180" s="59"/>
      <c r="T180" s="97" t="s">
        <v>183</v>
      </c>
      <c r="U180" s="79" t="s">
        <v>268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37.5" customHeight="1">
      <c r="A181" s="40">
        <v>176.0</v>
      </c>
      <c r="B181" s="120" t="s">
        <v>270</v>
      </c>
      <c r="C181" s="53" t="s">
        <v>271</v>
      </c>
      <c r="D181" s="54" t="str">
        <f>IMAGE("https://raw.githubusercontent.com/RedCat161/AoM/main/dwarf/dwarf2_200.jpg")</f>
        <v/>
      </c>
      <c r="E181" s="55" t="str">
        <f>'Созвездия'!B10</f>
        <v/>
      </c>
      <c r="F181" s="55" t="s">
        <v>15</v>
      </c>
      <c r="G181" s="55" t="str">
        <f>'Созвездия'!B3</f>
        <v/>
      </c>
      <c r="H181" s="55" t="s">
        <v>3</v>
      </c>
      <c r="I181" s="55" t="str">
        <f>'Созвездия'!B6</f>
        <v/>
      </c>
      <c r="J181" s="55" t="s">
        <v>11</v>
      </c>
      <c r="K181" s="55" t="str">
        <f>'Созвездия'!B2</f>
        <v/>
      </c>
      <c r="L181" s="56" t="s">
        <v>2</v>
      </c>
      <c r="M181" s="57">
        <f t="shared" si="1"/>
        <v>2</v>
      </c>
      <c r="N181" s="58"/>
      <c r="O181" s="29"/>
      <c r="P181" s="62"/>
      <c r="Q181" s="29"/>
      <c r="R181" s="29"/>
      <c r="S181" s="59"/>
      <c r="T181" s="60"/>
      <c r="U181" s="5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37.5" customHeight="1">
      <c r="A182" s="40">
        <v>177.0</v>
      </c>
      <c r="B182" s="120" t="s">
        <v>270</v>
      </c>
      <c r="C182" s="53" t="s">
        <v>272</v>
      </c>
      <c r="D182" s="54" t="str">
        <f>IMAGE("https://raw.githubusercontent.com/RedCat161/AoM/main/dwarf/dwarf3_200.jpg")</f>
        <v/>
      </c>
      <c r="E182" s="55" t="str">
        <f>'Созвездия'!B3</f>
        <v/>
      </c>
      <c r="F182" s="55" t="s">
        <v>3</v>
      </c>
      <c r="G182" s="55" t="str">
        <f>'Созвездия'!B13</f>
        <v/>
      </c>
      <c r="H182" s="55" t="s">
        <v>18</v>
      </c>
      <c r="I182" s="55" t="str">
        <f>'Созвездия'!B2</f>
        <v/>
      </c>
      <c r="J182" s="55" t="s">
        <v>2</v>
      </c>
      <c r="K182" s="55" t="str">
        <f>'Созвездия'!B2</f>
        <v/>
      </c>
      <c r="L182" s="56" t="s">
        <v>2</v>
      </c>
      <c r="M182" s="57">
        <f t="shared" si="1"/>
        <v>2</v>
      </c>
      <c r="N182" s="58"/>
      <c r="O182" s="62"/>
      <c r="P182" s="29"/>
      <c r="Q182" s="29"/>
      <c r="R182" s="29"/>
      <c r="S182" s="59"/>
      <c r="T182" s="60"/>
      <c r="U182" s="5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37.5" customHeight="1">
      <c r="A183" s="40">
        <v>178.0</v>
      </c>
      <c r="B183" s="120" t="s">
        <v>270</v>
      </c>
      <c r="C183" s="89" t="s">
        <v>273</v>
      </c>
      <c r="D183" s="54" t="str">
        <f>IMAGE("https://raw.githubusercontent.com/RedCat161/AoM/main/dwarf/dwarf1_200.jpg")</f>
        <v/>
      </c>
      <c r="E183" s="55" t="str">
        <f>'Созвездия'!B12</f>
        <v/>
      </c>
      <c r="F183" s="55" t="s">
        <v>17</v>
      </c>
      <c r="G183" s="55" t="str">
        <f>'Созвездия'!B12</f>
        <v/>
      </c>
      <c r="H183" s="55" t="s">
        <v>17</v>
      </c>
      <c r="I183" s="55" t="str">
        <f>'Созвездия'!B11</f>
        <v/>
      </c>
      <c r="J183" s="55" t="s">
        <v>16</v>
      </c>
      <c r="K183" s="55" t="str">
        <f>'Созвездия'!B12</f>
        <v/>
      </c>
      <c r="L183" s="56" t="s">
        <v>17</v>
      </c>
      <c r="M183" s="57">
        <f t="shared" si="1"/>
        <v>0</v>
      </c>
      <c r="N183" s="58"/>
      <c r="O183" s="29"/>
      <c r="P183" s="29"/>
      <c r="Q183" s="29"/>
      <c r="R183" s="29"/>
      <c r="S183" s="59"/>
      <c r="T183" s="60"/>
      <c r="U183" s="5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37.5" customHeight="1">
      <c r="A184" s="40">
        <v>179.0</v>
      </c>
      <c r="B184" s="120" t="s">
        <v>270</v>
      </c>
      <c r="C184" s="89" t="s">
        <v>274</v>
      </c>
      <c r="D184" s="54" t="str">
        <f>IMAGE("https://raw.githubusercontent.com/RedCat161/AoM/main/dwarf/dwarf7_200.jpg")</f>
        <v/>
      </c>
      <c r="E184" s="55" t="str">
        <f>'Созвездия'!B8</f>
        <v/>
      </c>
      <c r="F184" s="55" t="s">
        <v>13</v>
      </c>
      <c r="G184" s="55" t="str">
        <f>'Созвездия'!B5</f>
        <v/>
      </c>
      <c r="H184" s="55" t="s">
        <v>10</v>
      </c>
      <c r="I184" s="55" t="str">
        <f>'Созвездия'!B7</f>
        <v/>
      </c>
      <c r="J184" s="55" t="s">
        <v>12</v>
      </c>
      <c r="K184" s="55" t="str">
        <f>'Созвездия'!B7</f>
        <v/>
      </c>
      <c r="L184" s="56" t="s">
        <v>12</v>
      </c>
      <c r="M184" s="57">
        <f t="shared" si="1"/>
        <v>1</v>
      </c>
      <c r="N184" s="58"/>
      <c r="O184" s="58"/>
      <c r="P184" s="58"/>
      <c r="Q184" s="29"/>
      <c r="R184" s="29"/>
      <c r="S184" s="59"/>
      <c r="T184" s="60"/>
      <c r="U184" s="5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37.5" customHeight="1">
      <c r="A185" s="40">
        <v>180.0</v>
      </c>
      <c r="B185" s="120" t="s">
        <v>270</v>
      </c>
      <c r="C185" s="53" t="s">
        <v>275</v>
      </c>
      <c r="D185" s="54" t="str">
        <f>IMAGE("https://raw.githubusercontent.com/RedCat161/AoM/main/dwarf/dwarf6_200.jpg")</f>
        <v/>
      </c>
      <c r="E185" s="55" t="str">
        <f>'Созвездия'!B7</f>
        <v/>
      </c>
      <c r="F185" s="55" t="s">
        <v>12</v>
      </c>
      <c r="G185" s="55" t="str">
        <f>'Созвездия'!B7</f>
        <v/>
      </c>
      <c r="H185" s="55" t="s">
        <v>12</v>
      </c>
      <c r="I185" s="55" t="str">
        <f>'Созвездия'!B7</f>
        <v/>
      </c>
      <c r="J185" s="55" t="s">
        <v>12</v>
      </c>
      <c r="K185" s="55" t="str">
        <f>'Созвездия'!B13</f>
        <v/>
      </c>
      <c r="L185" s="56" t="s">
        <v>18</v>
      </c>
      <c r="M185" s="57">
        <f t="shared" si="1"/>
        <v>1</v>
      </c>
      <c r="N185" s="58"/>
      <c r="O185" s="29"/>
      <c r="P185" s="58"/>
      <c r="Q185" s="58"/>
      <c r="R185" s="29"/>
      <c r="S185" s="59"/>
      <c r="T185" s="60"/>
      <c r="U185" s="5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37.5" customHeight="1">
      <c r="A186" s="40">
        <v>181.0</v>
      </c>
      <c r="B186" s="120" t="s">
        <v>270</v>
      </c>
      <c r="C186" s="53" t="s">
        <v>276</v>
      </c>
      <c r="D186" s="54" t="str">
        <f>IMAGE("https://raw.githubusercontent.com/RedCat161/AoM/main/dwarf/dwarf4_200.jpg")</f>
        <v/>
      </c>
      <c r="E186" s="55" t="str">
        <f>'Созвездия'!B13</f>
        <v/>
      </c>
      <c r="F186" s="55" t="s">
        <v>18</v>
      </c>
      <c r="G186" s="55" t="str">
        <f>'Созвездия'!B2</f>
        <v/>
      </c>
      <c r="H186" s="55" t="s">
        <v>2</v>
      </c>
      <c r="I186" s="55" t="str">
        <f>'Созвездия'!B2</f>
        <v/>
      </c>
      <c r="J186" s="55" t="s">
        <v>2</v>
      </c>
      <c r="K186" s="55" t="str">
        <f>'Созвездия'!B13</f>
        <v/>
      </c>
      <c r="L186" s="56" t="s">
        <v>18</v>
      </c>
      <c r="M186" s="57">
        <f t="shared" si="1"/>
        <v>1</v>
      </c>
      <c r="N186" s="58"/>
      <c r="O186" s="58"/>
      <c r="P186" s="29"/>
      <c r="Q186" s="29"/>
      <c r="R186" s="29"/>
      <c r="S186" s="59"/>
      <c r="T186" s="60"/>
      <c r="U186" s="5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37.5" customHeight="1">
      <c r="A187" s="40">
        <v>182.0</v>
      </c>
      <c r="B187" s="120" t="s">
        <v>270</v>
      </c>
      <c r="C187" s="53" t="s">
        <v>277</v>
      </c>
      <c r="D187" s="54" t="str">
        <f>IMAGE("https://raw.githubusercontent.com/RedCat161/AoM/main/dwarf/dwarf5_200.jpg")</f>
        <v/>
      </c>
      <c r="E187" s="55" t="str">
        <f>'Созвездия'!B3</f>
        <v/>
      </c>
      <c r="F187" s="55" t="s">
        <v>3</v>
      </c>
      <c r="G187" s="55" t="str">
        <f>'Созвездия'!B5</f>
        <v/>
      </c>
      <c r="H187" s="55" t="s">
        <v>10</v>
      </c>
      <c r="I187" s="55" t="str">
        <f>'Созвездия'!B5</f>
        <v/>
      </c>
      <c r="J187" s="55" t="s">
        <v>10</v>
      </c>
      <c r="K187" s="55" t="str">
        <f>'Созвездия'!B5</f>
        <v/>
      </c>
      <c r="L187" s="56" t="s">
        <v>10</v>
      </c>
      <c r="M187" s="57">
        <f t="shared" si="1"/>
        <v>1</v>
      </c>
      <c r="N187" s="58"/>
      <c r="O187" s="29"/>
      <c r="P187" s="58"/>
      <c r="Q187" s="62"/>
      <c r="R187" s="29"/>
      <c r="S187" s="59"/>
      <c r="T187" s="60"/>
      <c r="U187" s="5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37.5" customHeight="1">
      <c r="A188" s="40">
        <v>183.0</v>
      </c>
      <c r="B188" s="121" t="s">
        <v>278</v>
      </c>
      <c r="C188" s="89" t="s">
        <v>279</v>
      </c>
      <c r="D188" s="54" t="str">
        <f>IMAGE("https://raw.githubusercontent.com/RedCat161/AoM/main/Varvar/varvar2_200.jpg")</f>
        <v/>
      </c>
      <c r="E188" s="55" t="str">
        <f>'Созвездия'!B11</f>
        <v/>
      </c>
      <c r="F188" s="55" t="s">
        <v>16</v>
      </c>
      <c r="G188" s="55" t="str">
        <f>'Созвездия'!B11</f>
        <v/>
      </c>
      <c r="H188" s="55" t="s">
        <v>16</v>
      </c>
      <c r="I188" s="55" t="str">
        <f>'Созвездия'!B9</f>
        <v/>
      </c>
      <c r="J188" s="55" t="s">
        <v>14</v>
      </c>
      <c r="K188" s="55" t="str">
        <f>'Созвездия'!B11</f>
        <v/>
      </c>
      <c r="L188" s="56" t="s">
        <v>16</v>
      </c>
      <c r="M188" s="57">
        <f t="shared" si="1"/>
        <v>0</v>
      </c>
      <c r="N188" s="58"/>
      <c r="O188" s="61" t="s">
        <v>38</v>
      </c>
      <c r="P188" s="58"/>
      <c r="Q188" s="29"/>
      <c r="R188" s="29"/>
      <c r="S188" s="71" t="s">
        <v>280</v>
      </c>
      <c r="T188" s="60"/>
      <c r="U188" s="5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37.5" customHeight="1">
      <c r="A189" s="40">
        <v>184.0</v>
      </c>
      <c r="B189" s="121" t="s">
        <v>278</v>
      </c>
      <c r="C189" s="89" t="s">
        <v>281</v>
      </c>
      <c r="D189" s="54" t="str">
        <f>IMAGE("https://raw.githubusercontent.com/RedCat161/AoM/main/Varvar/varvar3_200.jpg")</f>
        <v/>
      </c>
      <c r="E189" s="55" t="str">
        <f>'Созвездия'!B9</f>
        <v/>
      </c>
      <c r="F189" s="55" t="s">
        <v>14</v>
      </c>
      <c r="G189" s="55" t="str">
        <f>'Созвездия'!B10</f>
        <v/>
      </c>
      <c r="H189" s="55" t="s">
        <v>15</v>
      </c>
      <c r="I189" s="55" t="str">
        <f>'Созвездия'!B6</f>
        <v/>
      </c>
      <c r="J189" s="55" t="s">
        <v>11</v>
      </c>
      <c r="K189" s="55" t="str">
        <f>'Созвездия'!B11</f>
        <v/>
      </c>
      <c r="L189" s="56" t="s">
        <v>16</v>
      </c>
      <c r="M189" s="57">
        <f t="shared" si="1"/>
        <v>1</v>
      </c>
      <c r="N189" s="58"/>
      <c r="O189" s="29"/>
      <c r="P189" s="29"/>
      <c r="Q189" s="58"/>
      <c r="R189" s="29"/>
      <c r="S189" s="59"/>
      <c r="T189" s="60"/>
      <c r="U189" s="5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37.5" customHeight="1">
      <c r="A190" s="40">
        <v>185.0</v>
      </c>
      <c r="B190" s="121" t="s">
        <v>278</v>
      </c>
      <c r="C190" s="89" t="s">
        <v>282</v>
      </c>
      <c r="D190" s="54" t="str">
        <f>IMAGE("https://raw.githubusercontent.com/RedCat161/AoM/main/Varvar/varvar6_200.jpg")</f>
        <v/>
      </c>
      <c r="E190" s="55" t="str">
        <f>'Созвездия'!B11</f>
        <v/>
      </c>
      <c r="F190" s="55" t="s">
        <v>16</v>
      </c>
      <c r="G190" s="55" t="str">
        <f>'Созвездия'!B11</f>
        <v/>
      </c>
      <c r="H190" s="55" t="s">
        <v>16</v>
      </c>
      <c r="I190" s="55" t="str">
        <f>'Созвездия'!B11</f>
        <v/>
      </c>
      <c r="J190" s="55" t="s">
        <v>16</v>
      </c>
      <c r="K190" s="55" t="str">
        <f>'Созвездия'!B11</f>
        <v/>
      </c>
      <c r="L190" s="56" t="s">
        <v>16</v>
      </c>
      <c r="M190" s="57">
        <f t="shared" si="1"/>
        <v>0</v>
      </c>
      <c r="N190" s="58"/>
      <c r="O190" s="29"/>
      <c r="P190" s="29"/>
      <c r="Q190" s="29"/>
      <c r="R190" s="29"/>
      <c r="S190" s="71" t="s">
        <v>280</v>
      </c>
      <c r="T190" s="60"/>
      <c r="U190" s="5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37.5" customHeight="1">
      <c r="A191" s="40">
        <v>186.0</v>
      </c>
      <c r="B191" s="121" t="s">
        <v>278</v>
      </c>
      <c r="C191" s="89" t="s">
        <v>283</v>
      </c>
      <c r="D191" s="54" t="str">
        <f>IMAGE("https://raw.githubusercontent.com/RedCat161/AoM/main/Varvar/varvar4_200.jpg")</f>
        <v/>
      </c>
      <c r="E191" s="55" t="str">
        <f>'Созвездия'!B8</f>
        <v/>
      </c>
      <c r="F191" s="55" t="s">
        <v>13</v>
      </c>
      <c r="G191" s="55" t="str">
        <f>'Созвездия'!B12</f>
        <v/>
      </c>
      <c r="H191" s="55" t="s">
        <v>17</v>
      </c>
      <c r="I191" s="55" t="str">
        <f>'Созвездия'!B2</f>
        <v/>
      </c>
      <c r="J191" s="55" t="s">
        <v>2</v>
      </c>
      <c r="K191" s="55" t="str">
        <f>'Созвездия'!B7</f>
        <v/>
      </c>
      <c r="L191" s="56" t="s">
        <v>12</v>
      </c>
      <c r="M191" s="57">
        <f t="shared" si="1"/>
        <v>1</v>
      </c>
      <c r="N191" s="58"/>
      <c r="O191" s="29"/>
      <c r="P191" s="29"/>
      <c r="Q191" s="29"/>
      <c r="R191" s="29"/>
      <c r="S191" s="71" t="s">
        <v>280</v>
      </c>
      <c r="T191" s="60"/>
      <c r="U191" s="5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37.5" customHeight="1">
      <c r="A192" s="40">
        <v>187.0</v>
      </c>
      <c r="B192" s="121" t="s">
        <v>278</v>
      </c>
      <c r="C192" s="89" t="s">
        <v>284</v>
      </c>
      <c r="D192" s="54" t="str">
        <f>IMAGE("https://raw.githubusercontent.com/RedCat161/AoM/main/Varvar/varvar5_200.jpg")</f>
        <v/>
      </c>
      <c r="E192" s="55" t="str">
        <f>'Созвездия'!B12</f>
        <v/>
      </c>
      <c r="F192" s="55" t="s">
        <v>17</v>
      </c>
      <c r="G192" s="55" t="str">
        <f>'Созвездия'!B7</f>
        <v/>
      </c>
      <c r="H192" s="55" t="s">
        <v>12</v>
      </c>
      <c r="I192" s="55" t="str">
        <f>'Созвездия'!B7</f>
        <v/>
      </c>
      <c r="J192" s="55" t="s">
        <v>12</v>
      </c>
      <c r="K192" s="55" t="str">
        <f>'Созвездия'!B7</f>
        <v/>
      </c>
      <c r="L192" s="56" t="s">
        <v>12</v>
      </c>
      <c r="M192" s="57">
        <f t="shared" si="1"/>
        <v>0</v>
      </c>
      <c r="N192" s="58"/>
      <c r="O192" s="29"/>
      <c r="P192" s="58"/>
      <c r="Q192" s="29"/>
      <c r="R192" s="29"/>
      <c r="S192" s="71" t="s">
        <v>280</v>
      </c>
      <c r="T192" s="60"/>
      <c r="U192" s="5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37.5" customHeight="1">
      <c r="A193" s="40">
        <v>188.0</v>
      </c>
      <c r="B193" s="121" t="s">
        <v>278</v>
      </c>
      <c r="C193" s="89" t="s">
        <v>285</v>
      </c>
      <c r="D193" s="54" t="str">
        <f>IMAGE("https://raw.githubusercontent.com/RedCat161/AoM/main/Varvar/varvar1_200.jpg")</f>
        <v/>
      </c>
      <c r="E193" s="55" t="str">
        <f>'Созвездия'!B6</f>
        <v/>
      </c>
      <c r="F193" s="55" t="s">
        <v>11</v>
      </c>
      <c r="G193" s="55" t="str">
        <f>'Созвездия'!B6</f>
        <v/>
      </c>
      <c r="H193" s="55" t="s">
        <v>11</v>
      </c>
      <c r="I193" s="55" t="str">
        <f>'Созвездия'!B11</f>
        <v/>
      </c>
      <c r="J193" s="55" t="s">
        <v>16</v>
      </c>
      <c r="K193" s="55" t="str">
        <f>'Созвездия'!B11</f>
        <v/>
      </c>
      <c r="L193" s="56" t="s">
        <v>16</v>
      </c>
      <c r="M193" s="57">
        <f t="shared" si="1"/>
        <v>1</v>
      </c>
      <c r="N193" s="58"/>
      <c r="O193" s="61" t="s">
        <v>38</v>
      </c>
      <c r="P193" s="58"/>
      <c r="Q193" s="29"/>
      <c r="R193" s="29"/>
      <c r="S193" s="71" t="s">
        <v>280</v>
      </c>
      <c r="T193" s="60"/>
      <c r="U193" s="5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37.5" customHeight="1">
      <c r="A194" s="40">
        <v>189.0</v>
      </c>
      <c r="B194" s="121" t="s">
        <v>278</v>
      </c>
      <c r="C194" s="89" t="s">
        <v>286</v>
      </c>
      <c r="D194" s="54" t="str">
        <f>IMAGE("https://raw.githubusercontent.com/RedCat161/AoM/main/Varvar/varvar7_200.jpg")</f>
        <v/>
      </c>
      <c r="E194" s="55" t="str">
        <f>'Созвездия'!B8</f>
        <v/>
      </c>
      <c r="F194" s="55" t="s">
        <v>13</v>
      </c>
      <c r="G194" s="55" t="str">
        <f>'Созвездия'!B5</f>
        <v/>
      </c>
      <c r="H194" s="55" t="s">
        <v>10</v>
      </c>
      <c r="I194" s="55" t="str">
        <f>'Созвездия'!B13</f>
        <v/>
      </c>
      <c r="J194" s="55" t="s">
        <v>18</v>
      </c>
      <c r="K194" s="55" t="str">
        <f>'Созвездия'!B13</f>
        <v/>
      </c>
      <c r="L194" s="56" t="s">
        <v>18</v>
      </c>
      <c r="M194" s="57">
        <f t="shared" si="1"/>
        <v>2</v>
      </c>
      <c r="N194" s="58"/>
      <c r="O194" s="29"/>
      <c r="P194" s="62"/>
      <c r="Q194" s="29"/>
      <c r="R194" s="29"/>
      <c r="S194" s="71" t="s">
        <v>280</v>
      </c>
      <c r="T194" s="60"/>
      <c r="U194" s="5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37.5" customHeight="1">
      <c r="A195" s="40">
        <v>190.0</v>
      </c>
      <c r="B195" s="122" t="s">
        <v>287</v>
      </c>
      <c r="C195" s="53" t="s">
        <v>288</v>
      </c>
      <c r="D195" s="54" t="str">
        <f>IMAGE("https://raw.githubusercontent.com/RedCat161/AoM/main/Arh/Arh7_200.jpg")</f>
        <v/>
      </c>
      <c r="E195" s="55" t="str">
        <f>'Созвездия'!B6</f>
        <v/>
      </c>
      <c r="F195" s="55" t="s">
        <v>11</v>
      </c>
      <c r="G195" s="55" t="str">
        <f>'Созвездия'!B6</f>
        <v/>
      </c>
      <c r="H195" s="55" t="s">
        <v>11</v>
      </c>
      <c r="I195" s="55" t="str">
        <f>'Созвездия'!B6</f>
        <v/>
      </c>
      <c r="J195" s="55" t="s">
        <v>11</v>
      </c>
      <c r="K195" s="55" t="str">
        <f>'Созвездия'!B3</f>
        <v/>
      </c>
      <c r="L195" s="56" t="s">
        <v>3</v>
      </c>
      <c r="M195" s="57">
        <f t="shared" si="1"/>
        <v>2</v>
      </c>
      <c r="N195" s="58"/>
      <c r="O195" s="62"/>
      <c r="P195" s="29"/>
      <c r="Q195" s="29"/>
      <c r="R195" s="29"/>
      <c r="S195" s="71" t="s">
        <v>54</v>
      </c>
      <c r="T195" s="123"/>
      <c r="U195" s="73" t="s">
        <v>55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37.5" customHeight="1">
      <c r="A196" s="40">
        <v>191.0</v>
      </c>
      <c r="B196" s="122" t="s">
        <v>287</v>
      </c>
      <c r="C196" s="89" t="s">
        <v>289</v>
      </c>
      <c r="D196" s="54" t="str">
        <f>IMAGE("https://raw.githubusercontent.com/RedCat161/AoM/main/Arh/Arh6_200.jpg")</f>
        <v/>
      </c>
      <c r="E196" s="55" t="str">
        <f>'Созвездия'!B4</f>
        <v/>
      </c>
      <c r="F196" s="55" t="s">
        <v>8</v>
      </c>
      <c r="G196" s="55" t="str">
        <f>'Созвездия'!B8</f>
        <v/>
      </c>
      <c r="H196" s="55" t="s">
        <v>13</v>
      </c>
      <c r="I196" s="55" t="str">
        <f>'Созвездия'!B12</f>
        <v/>
      </c>
      <c r="J196" s="55" t="s">
        <v>17</v>
      </c>
      <c r="K196" s="55" t="str">
        <f>'Созвездия'!B12</f>
        <v/>
      </c>
      <c r="L196" s="56" t="s">
        <v>17</v>
      </c>
      <c r="M196" s="57">
        <f t="shared" si="1"/>
        <v>1</v>
      </c>
      <c r="N196" s="58"/>
      <c r="O196" s="29"/>
      <c r="P196" s="29"/>
      <c r="Q196" s="29"/>
      <c r="R196" s="29"/>
      <c r="S196" s="71" t="s">
        <v>54</v>
      </c>
      <c r="T196" s="123"/>
      <c r="U196" s="73" t="s">
        <v>55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37.5" customHeight="1">
      <c r="A197" s="40">
        <v>192.0</v>
      </c>
      <c r="B197" s="122" t="s">
        <v>287</v>
      </c>
      <c r="C197" s="53" t="s">
        <v>290</v>
      </c>
      <c r="D197" s="54" t="str">
        <f>IMAGE("https://raw.githubusercontent.com/RedCat161/AoM/main/Arh/Arh5_200.jpg")</f>
        <v/>
      </c>
      <c r="E197" s="55" t="str">
        <f>'Созвездия'!B9</f>
        <v/>
      </c>
      <c r="F197" s="55" t="s">
        <v>14</v>
      </c>
      <c r="G197" s="55" t="str">
        <f>'Созвездия'!B9</f>
        <v/>
      </c>
      <c r="H197" s="55" t="s">
        <v>14</v>
      </c>
      <c r="I197" s="55" t="str">
        <f>'Созвездия'!B9</f>
        <v/>
      </c>
      <c r="J197" s="55" t="s">
        <v>14</v>
      </c>
      <c r="K197" s="55" t="str">
        <f>'Созвездия'!B10</f>
        <v/>
      </c>
      <c r="L197" s="56" t="s">
        <v>15</v>
      </c>
      <c r="M197" s="57">
        <f t="shared" si="1"/>
        <v>0</v>
      </c>
      <c r="N197" s="61" t="s">
        <v>38</v>
      </c>
      <c r="O197" s="61" t="s">
        <v>38</v>
      </c>
      <c r="P197" s="68" t="s">
        <v>38</v>
      </c>
      <c r="Q197" s="29"/>
      <c r="R197" s="29"/>
      <c r="S197" s="71" t="s">
        <v>54</v>
      </c>
      <c r="T197" s="123"/>
      <c r="U197" s="73" t="s">
        <v>55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37.5" customHeight="1">
      <c r="A198" s="40">
        <v>193.0</v>
      </c>
      <c r="B198" s="122" t="s">
        <v>287</v>
      </c>
      <c r="C198" s="53" t="s">
        <v>291</v>
      </c>
      <c r="D198" s="54" t="str">
        <f>IMAGE("https://raw.githubusercontent.com/RedCat161/AoM/main/Arh/Arh4_200.jpg")</f>
        <v/>
      </c>
      <c r="E198" s="55" t="str">
        <f>'Созвездия'!B10</f>
        <v/>
      </c>
      <c r="F198" s="55" t="s">
        <v>15</v>
      </c>
      <c r="G198" s="55" t="str">
        <f>'Созвездия'!B10</f>
        <v/>
      </c>
      <c r="H198" s="55" t="s">
        <v>15</v>
      </c>
      <c r="I198" s="55" t="str">
        <f>'Созвездия'!B9</f>
        <v/>
      </c>
      <c r="J198" s="55" t="s">
        <v>14</v>
      </c>
      <c r="K198" s="55" t="str">
        <f>'Созвездия'!B13</f>
        <v/>
      </c>
      <c r="L198" s="56" t="s">
        <v>18</v>
      </c>
      <c r="M198" s="57">
        <f t="shared" si="1"/>
        <v>1</v>
      </c>
      <c r="N198" s="58"/>
      <c r="O198" s="58"/>
      <c r="P198" s="62"/>
      <c r="Q198" s="29"/>
      <c r="R198" s="69" t="s">
        <v>50</v>
      </c>
      <c r="S198" s="71" t="s">
        <v>54</v>
      </c>
      <c r="T198" s="123"/>
      <c r="U198" s="73" t="s">
        <v>55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37.5" customHeight="1">
      <c r="A199" s="40">
        <v>194.0</v>
      </c>
      <c r="B199" s="122" t="s">
        <v>287</v>
      </c>
      <c r="C199" s="53" t="s">
        <v>292</v>
      </c>
      <c r="D199" s="54" t="str">
        <f>IMAGE("https://raw.githubusercontent.com/RedCat161/AoM/main/Arh/Arh3_200.jpg")</f>
        <v/>
      </c>
      <c r="E199" s="55" t="str">
        <f>'Созвездия'!B9</f>
        <v/>
      </c>
      <c r="F199" s="55" t="s">
        <v>14</v>
      </c>
      <c r="G199" s="55" t="str">
        <f>'Созвездия'!B9</f>
        <v/>
      </c>
      <c r="H199" s="55" t="s">
        <v>14</v>
      </c>
      <c r="I199" s="55" t="str">
        <f>'Созвездия'!B6</f>
        <v/>
      </c>
      <c r="J199" s="55" t="s">
        <v>11</v>
      </c>
      <c r="K199" s="55" t="str">
        <f>'Созвездия'!B6</f>
        <v/>
      </c>
      <c r="L199" s="56" t="s">
        <v>11</v>
      </c>
      <c r="M199" s="57">
        <f t="shared" si="1"/>
        <v>1</v>
      </c>
      <c r="N199" s="58"/>
      <c r="O199" s="58"/>
      <c r="P199" s="58"/>
      <c r="Q199" s="29"/>
      <c r="R199" s="29"/>
      <c r="S199" s="71" t="s">
        <v>54</v>
      </c>
      <c r="T199" s="123"/>
      <c r="U199" s="73" t="s">
        <v>55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37.5" customHeight="1">
      <c r="A200" s="40">
        <v>195.0</v>
      </c>
      <c r="B200" s="122" t="s">
        <v>287</v>
      </c>
      <c r="C200" s="53" t="s">
        <v>293</v>
      </c>
      <c r="D200" s="54" t="str">
        <f>IMAGE("https://raw.githubusercontent.com/RedCat161/AoM/main/Arh/Arh1_200.jpg")</f>
        <v/>
      </c>
      <c r="E200" s="55" t="str">
        <f>'Созвездия'!B8</f>
        <v/>
      </c>
      <c r="F200" s="55" t="s">
        <v>13</v>
      </c>
      <c r="G200" s="55" t="str">
        <f>'Созвездия'!B8</f>
        <v/>
      </c>
      <c r="H200" s="55" t="s">
        <v>13</v>
      </c>
      <c r="I200" s="55" t="str">
        <f>'Созвездия'!B13</f>
        <v/>
      </c>
      <c r="J200" s="55" t="s">
        <v>18</v>
      </c>
      <c r="K200" s="55" t="str">
        <f>'Созвездия'!B2</f>
        <v/>
      </c>
      <c r="L200" s="56" t="s">
        <v>2</v>
      </c>
      <c r="M200" s="57">
        <f t="shared" si="1"/>
        <v>2</v>
      </c>
      <c r="N200" s="58"/>
      <c r="O200" s="29"/>
      <c r="P200" s="58"/>
      <c r="Q200" s="29"/>
      <c r="R200" s="69" t="s">
        <v>50</v>
      </c>
      <c r="S200" s="71" t="s">
        <v>54</v>
      </c>
      <c r="T200" s="123"/>
      <c r="U200" s="73" t="s">
        <v>55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37.5" customHeight="1">
      <c r="A201" s="40">
        <v>196.0</v>
      </c>
      <c r="B201" s="122" t="s">
        <v>287</v>
      </c>
      <c r="C201" s="89" t="s">
        <v>294</v>
      </c>
      <c r="D201" s="54" t="str">
        <f>IMAGE("https://raw.githubusercontent.com/RedCat161/AoM/main/Arh/Arh2_200.jpg")</f>
        <v/>
      </c>
      <c r="E201" s="55" t="str">
        <f>'Созвездия'!B8</f>
        <v/>
      </c>
      <c r="F201" s="55" t="s">
        <v>13</v>
      </c>
      <c r="G201" s="55" t="str">
        <f>'Созвездия'!B7</f>
        <v/>
      </c>
      <c r="H201" s="55" t="s">
        <v>12</v>
      </c>
      <c r="I201" s="55" t="str">
        <f>'Созвездия'!B6</f>
        <v/>
      </c>
      <c r="J201" s="55" t="s">
        <v>11</v>
      </c>
      <c r="K201" s="55" t="str">
        <f>'Созвездия'!B2</f>
        <v/>
      </c>
      <c r="L201" s="56" t="s">
        <v>2</v>
      </c>
      <c r="M201" s="57">
        <f t="shared" si="1"/>
        <v>2</v>
      </c>
      <c r="N201" s="58"/>
      <c r="O201" s="29"/>
      <c r="P201" s="62"/>
      <c r="Q201" s="62"/>
      <c r="R201" s="29"/>
      <c r="S201" s="71" t="s">
        <v>54</v>
      </c>
      <c r="T201" s="123"/>
      <c r="U201" s="73" t="s">
        <v>55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37.5" customHeight="1">
      <c r="A202" s="40">
        <v>197.0</v>
      </c>
      <c r="B202" s="124" t="s">
        <v>295</v>
      </c>
      <c r="C202" s="89" t="s">
        <v>296</v>
      </c>
      <c r="D202" s="54" t="str">
        <f>IMAGE("https://raw.githubusercontent.com/RedCat161/AoM/main/undead/undead4_200.jpg")</f>
        <v/>
      </c>
      <c r="E202" s="55" t="str">
        <f>'Созвездия'!B4</f>
        <v/>
      </c>
      <c r="F202" s="55" t="s">
        <v>8</v>
      </c>
      <c r="G202" s="55" t="str">
        <f>'Созвездия'!B4</f>
        <v/>
      </c>
      <c r="H202" s="55" t="s">
        <v>8</v>
      </c>
      <c r="I202" s="55" t="str">
        <f>'Созвездия'!B4</f>
        <v/>
      </c>
      <c r="J202" s="55" t="s">
        <v>8</v>
      </c>
      <c r="K202" s="55" t="str">
        <f>'Созвездия'!B2</f>
        <v/>
      </c>
      <c r="L202" s="56" t="s">
        <v>2</v>
      </c>
      <c r="M202" s="57">
        <f t="shared" si="1"/>
        <v>0</v>
      </c>
      <c r="N202" s="58"/>
      <c r="O202" s="58"/>
      <c r="P202" s="29"/>
      <c r="Q202" s="29"/>
      <c r="R202" s="29"/>
      <c r="S202" s="59"/>
      <c r="T202" s="60"/>
      <c r="U202" s="5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37.5" customHeight="1">
      <c r="A203" s="40">
        <v>198.0</v>
      </c>
      <c r="B203" s="124" t="s">
        <v>295</v>
      </c>
      <c r="C203" s="53" t="s">
        <v>297</v>
      </c>
      <c r="D203" s="54" t="str">
        <f>IMAGE("https://raw.githubusercontent.com/RedCat161/AoM/main/undead/undead5_200.jpg")</f>
        <v/>
      </c>
      <c r="E203" s="55" t="str">
        <f>'Созвездия'!B7</f>
        <v/>
      </c>
      <c r="F203" s="55" t="s">
        <v>12</v>
      </c>
      <c r="G203" s="55" t="str">
        <f>'Созвездия'!B7</f>
        <v/>
      </c>
      <c r="H203" s="55" t="s">
        <v>12</v>
      </c>
      <c r="I203" s="55" t="str">
        <f>'Созвездия'!B7</f>
        <v/>
      </c>
      <c r="J203" s="55" t="s">
        <v>12</v>
      </c>
      <c r="K203" s="55" t="str">
        <f>'Созвездия'!B12</f>
        <v/>
      </c>
      <c r="L203" s="56" t="s">
        <v>17</v>
      </c>
      <c r="M203" s="57">
        <f t="shared" si="1"/>
        <v>0</v>
      </c>
      <c r="N203" s="58"/>
      <c r="O203" s="62"/>
      <c r="P203" s="29"/>
      <c r="Q203" s="29"/>
      <c r="R203" s="29"/>
      <c r="S203" s="59"/>
      <c r="T203" s="60"/>
      <c r="U203" s="5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37.5" customHeight="1">
      <c r="A204" s="40">
        <v>199.0</v>
      </c>
      <c r="B204" s="124" t="s">
        <v>295</v>
      </c>
      <c r="C204" s="89" t="s">
        <v>298</v>
      </c>
      <c r="D204" s="54" t="str">
        <f>IMAGE("https://raw.githubusercontent.com/RedCat161/AoM/main/undead/undead1_200.jpg")</f>
        <v/>
      </c>
      <c r="E204" s="55" t="str">
        <f>'Созвездия'!B9</f>
        <v/>
      </c>
      <c r="F204" s="55" t="s">
        <v>14</v>
      </c>
      <c r="G204" s="55" t="str">
        <f>'Созвездия'!B5</f>
        <v/>
      </c>
      <c r="H204" s="55" t="s">
        <v>10</v>
      </c>
      <c r="I204" s="55" t="str">
        <f>'Созвездия'!B10</f>
        <v/>
      </c>
      <c r="J204" s="55" t="s">
        <v>15</v>
      </c>
      <c r="K204" s="55" t="str">
        <f>'Созвездия'!B10</f>
        <v/>
      </c>
      <c r="L204" s="56" t="s">
        <v>15</v>
      </c>
      <c r="M204" s="57">
        <f t="shared" si="1"/>
        <v>0</v>
      </c>
      <c r="N204" s="61" t="s">
        <v>38</v>
      </c>
      <c r="O204" s="58"/>
      <c r="P204" s="58"/>
      <c r="Q204" s="29"/>
      <c r="R204" s="29"/>
      <c r="S204" s="59"/>
      <c r="T204" s="60"/>
      <c r="U204" s="5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37.5" customHeight="1">
      <c r="A205" s="40">
        <v>200.0</v>
      </c>
      <c r="B205" s="124" t="s">
        <v>295</v>
      </c>
      <c r="C205" s="89" t="s">
        <v>299</v>
      </c>
      <c r="D205" s="54" t="str">
        <f>IMAGE("https://raw.githubusercontent.com/RedCat161/AoM/main/undead/undead7_200.jpg")</f>
        <v/>
      </c>
      <c r="E205" s="55" t="str">
        <f>'Созвездия'!B8</f>
        <v/>
      </c>
      <c r="F205" s="55" t="s">
        <v>13</v>
      </c>
      <c r="G205" s="55" t="str">
        <f>'Созвездия'!B8</f>
        <v/>
      </c>
      <c r="H205" s="55" t="s">
        <v>13</v>
      </c>
      <c r="I205" s="55" t="str">
        <f>'Созвездия'!B8</f>
        <v/>
      </c>
      <c r="J205" s="55" t="s">
        <v>13</v>
      </c>
      <c r="K205" s="55" t="str">
        <f>'Созвездия'!B7</f>
        <v/>
      </c>
      <c r="L205" s="56" t="s">
        <v>12</v>
      </c>
      <c r="M205" s="57">
        <f t="shared" si="1"/>
        <v>1</v>
      </c>
      <c r="N205" s="58"/>
      <c r="O205" s="61" t="s">
        <v>38</v>
      </c>
      <c r="P205" s="29"/>
      <c r="Q205" s="29"/>
      <c r="R205" s="71" t="s">
        <v>152</v>
      </c>
      <c r="S205" s="59"/>
      <c r="T205" s="60"/>
      <c r="U205" s="5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37.5" customHeight="1">
      <c r="A206" s="40">
        <v>201.0</v>
      </c>
      <c r="B206" s="124" t="s">
        <v>295</v>
      </c>
      <c r="C206" s="89" t="s">
        <v>300</v>
      </c>
      <c r="D206" s="54" t="str">
        <f>IMAGE("https://raw.githubusercontent.com/RedCat161/AoM/main/undead/undead6_200.jpg")</f>
        <v/>
      </c>
      <c r="E206" s="55" t="str">
        <f>'Созвездия'!B9</f>
        <v/>
      </c>
      <c r="F206" s="55" t="s">
        <v>14</v>
      </c>
      <c r="G206" s="55" t="str">
        <f>'Созвездия'!B5</f>
        <v/>
      </c>
      <c r="H206" s="55" t="s">
        <v>10</v>
      </c>
      <c r="I206" s="55" t="str">
        <f>'Созвездия'!B10</f>
        <v/>
      </c>
      <c r="J206" s="55" t="s">
        <v>15</v>
      </c>
      <c r="K206" s="55" t="str">
        <f>'Созвездия'!B10</f>
        <v/>
      </c>
      <c r="L206" s="56" t="s">
        <v>15</v>
      </c>
      <c r="M206" s="57">
        <f t="shared" si="1"/>
        <v>0</v>
      </c>
      <c r="N206" s="58"/>
      <c r="O206" s="61" t="s">
        <v>38</v>
      </c>
      <c r="P206" s="62"/>
      <c r="Q206" s="29"/>
      <c r="R206" s="29"/>
      <c r="S206" s="59"/>
      <c r="T206" s="60"/>
      <c r="U206" s="5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37.5" customHeight="1">
      <c r="A207" s="40">
        <v>202.0</v>
      </c>
      <c r="B207" s="124" t="s">
        <v>295</v>
      </c>
      <c r="C207" s="89" t="s">
        <v>301</v>
      </c>
      <c r="D207" s="54" t="str">
        <f>IMAGE("https://raw.githubusercontent.com/RedCat161/AoM/main/undead/undead2_200.jpg")</f>
        <v/>
      </c>
      <c r="E207" s="55" t="str">
        <f>'Созвездия'!B12</f>
        <v/>
      </c>
      <c r="F207" s="55" t="s">
        <v>17</v>
      </c>
      <c r="G207" s="55" t="str">
        <f>'Созвездия'!B12</f>
        <v/>
      </c>
      <c r="H207" s="55" t="s">
        <v>17</v>
      </c>
      <c r="I207" s="55" t="str">
        <f>'Созвездия'!B7</f>
        <v/>
      </c>
      <c r="J207" s="55" t="s">
        <v>12</v>
      </c>
      <c r="K207" s="55" t="str">
        <f>'Созвездия'!B7</f>
        <v/>
      </c>
      <c r="L207" s="56" t="s">
        <v>12</v>
      </c>
      <c r="M207" s="57">
        <f t="shared" si="1"/>
        <v>0</v>
      </c>
      <c r="N207" s="58"/>
      <c r="O207" s="29"/>
      <c r="P207" s="29"/>
      <c r="Q207" s="29"/>
      <c r="R207" s="29"/>
      <c r="S207" s="59"/>
      <c r="T207" s="60"/>
      <c r="U207" s="5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37.5" customHeight="1">
      <c r="A208" s="40">
        <v>203.0</v>
      </c>
      <c r="B208" s="124" t="s">
        <v>295</v>
      </c>
      <c r="C208" s="53" t="s">
        <v>302</v>
      </c>
      <c r="D208" s="54" t="str">
        <f>IMAGE("https://raw.githubusercontent.com/RedCat161/AoM/main/undead/undead3_200.jpg")</f>
        <v/>
      </c>
      <c r="E208" s="55" t="str">
        <f>'Созвездия'!B5</f>
        <v/>
      </c>
      <c r="F208" s="55" t="s">
        <v>10</v>
      </c>
      <c r="G208" s="55" t="str">
        <f>'Созвездия'!B5</f>
        <v/>
      </c>
      <c r="H208" s="55" t="s">
        <v>10</v>
      </c>
      <c r="I208" s="55" t="str">
        <f>'Созвездия'!B5</f>
        <v/>
      </c>
      <c r="J208" s="55" t="s">
        <v>10</v>
      </c>
      <c r="K208" s="55" t="str">
        <f>'Созвездия'!B6</f>
        <v/>
      </c>
      <c r="L208" s="56" t="s">
        <v>11</v>
      </c>
      <c r="M208" s="57">
        <f t="shared" si="1"/>
        <v>1</v>
      </c>
      <c r="N208" s="58"/>
      <c r="O208" s="29"/>
      <c r="P208" s="62"/>
      <c r="Q208" s="29"/>
      <c r="R208" s="29"/>
      <c r="S208" s="59"/>
      <c r="T208" s="60"/>
      <c r="U208" s="5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37.5" customHeight="1">
      <c r="A209" s="40">
        <v>204.0</v>
      </c>
      <c r="B209" s="125" t="s">
        <v>303</v>
      </c>
      <c r="C209" s="53" t="s">
        <v>304</v>
      </c>
      <c r="D209" s="54" t="str">
        <f>IMAGE("https://raw.githubusercontent.com/RedCat161/AoM/main/Vamp/vamp1_200.jpg")</f>
        <v/>
      </c>
      <c r="E209" s="55" t="str">
        <f>'Созвездия'!B3</f>
        <v/>
      </c>
      <c r="F209" s="55" t="s">
        <v>3</v>
      </c>
      <c r="G209" s="55" t="str">
        <f>'Созвездия'!B3</f>
        <v/>
      </c>
      <c r="H209" s="55" t="s">
        <v>3</v>
      </c>
      <c r="I209" s="55" t="str">
        <f>'Созвездия'!B5</f>
        <v/>
      </c>
      <c r="J209" s="55" t="s">
        <v>10</v>
      </c>
      <c r="K209" s="55" t="str">
        <f>'Созвездия'!B9</f>
        <v/>
      </c>
      <c r="L209" s="56" t="s">
        <v>14</v>
      </c>
      <c r="M209" s="57">
        <f t="shared" si="1"/>
        <v>1</v>
      </c>
      <c r="N209" s="58"/>
      <c r="O209" s="61" t="s">
        <v>38</v>
      </c>
      <c r="P209" s="68" t="s">
        <v>38</v>
      </c>
      <c r="Q209" s="29"/>
      <c r="R209" s="29"/>
      <c r="S209" s="59"/>
      <c r="T209" s="60"/>
      <c r="U209" s="5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37.5" customHeight="1">
      <c r="A210" s="40">
        <v>205.0</v>
      </c>
      <c r="B210" s="125" t="s">
        <v>303</v>
      </c>
      <c r="C210" s="53" t="s">
        <v>305</v>
      </c>
      <c r="D210" s="54" t="str">
        <f>IMAGE("https://raw.githubusercontent.com/RedCat161/AoM/main/Vamp/vamp2_200.jpg")</f>
        <v/>
      </c>
      <c r="E210" s="55" t="str">
        <f>'Созвездия'!B7</f>
        <v/>
      </c>
      <c r="F210" s="55" t="s">
        <v>12</v>
      </c>
      <c r="G210" s="55" t="str">
        <f>'Созвездия'!B7</f>
        <v/>
      </c>
      <c r="H210" s="55" t="s">
        <v>12</v>
      </c>
      <c r="I210" s="55" t="str">
        <f>'Созвездия'!B9</f>
        <v/>
      </c>
      <c r="J210" s="55" t="s">
        <v>14</v>
      </c>
      <c r="K210" s="55" t="str">
        <f>'Созвездия'!B5</f>
        <v/>
      </c>
      <c r="L210" s="56" t="s">
        <v>10</v>
      </c>
      <c r="M210" s="57">
        <f t="shared" si="1"/>
        <v>0</v>
      </c>
      <c r="N210" s="61" t="s">
        <v>38</v>
      </c>
      <c r="O210" s="61" t="s">
        <v>38</v>
      </c>
      <c r="P210" s="29"/>
      <c r="Q210" s="29"/>
      <c r="R210" s="71" t="s">
        <v>306</v>
      </c>
      <c r="S210" s="59"/>
      <c r="T210" s="60"/>
      <c r="U210" s="5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37.5" customHeight="1">
      <c r="A211" s="40">
        <v>206.0</v>
      </c>
      <c r="B211" s="125" t="s">
        <v>303</v>
      </c>
      <c r="C211" s="53" t="s">
        <v>307</v>
      </c>
      <c r="D211" s="54" t="str">
        <f>IMAGE("https://raw.githubusercontent.com/RedCat161/AoM/main/Vamp/vamp3_200.jpg")</f>
        <v/>
      </c>
      <c r="E211" s="55" t="str">
        <f>'Созвездия'!B5</f>
        <v/>
      </c>
      <c r="F211" s="55" t="s">
        <v>10</v>
      </c>
      <c r="G211" s="55" t="str">
        <f>'Созвездия'!B5</f>
        <v/>
      </c>
      <c r="H211" s="55" t="s">
        <v>10</v>
      </c>
      <c r="I211" s="55" t="str">
        <f>'Созвездия'!B5</f>
        <v/>
      </c>
      <c r="J211" s="55" t="s">
        <v>10</v>
      </c>
      <c r="K211" s="55" t="str">
        <f>'Созвездия'!B6</f>
        <v/>
      </c>
      <c r="L211" s="56" t="s">
        <v>11</v>
      </c>
      <c r="M211" s="57">
        <f t="shared" si="1"/>
        <v>1</v>
      </c>
      <c r="N211" s="61"/>
      <c r="O211" s="62"/>
      <c r="P211" s="61"/>
      <c r="Q211" s="29"/>
      <c r="R211" s="29"/>
      <c r="S211" s="59"/>
      <c r="T211" s="60"/>
      <c r="U211" s="5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37.5" customHeight="1">
      <c r="A212" s="40">
        <v>207.0</v>
      </c>
      <c r="B212" s="125" t="s">
        <v>303</v>
      </c>
      <c r="C212" s="53" t="s">
        <v>308</v>
      </c>
      <c r="D212" s="54" t="str">
        <f>IMAGE("https://raw.githubusercontent.com/RedCat161/AoM/main/Vamp/vamp4_200.jpg")</f>
        <v/>
      </c>
      <c r="E212" s="55" t="str">
        <f>'Созвездия'!B5</f>
        <v/>
      </c>
      <c r="F212" s="55" t="s">
        <v>10</v>
      </c>
      <c r="G212" s="55" t="str">
        <f>'Созвездия'!B3</f>
        <v/>
      </c>
      <c r="H212" s="55" t="s">
        <v>3</v>
      </c>
      <c r="I212" s="55" t="str">
        <f>'Созвездия'!B3</f>
        <v/>
      </c>
      <c r="J212" s="55" t="s">
        <v>3</v>
      </c>
      <c r="K212" s="55" t="str">
        <f>'Созвездия'!B6</f>
        <v/>
      </c>
      <c r="L212" s="56" t="s">
        <v>11</v>
      </c>
      <c r="M212" s="57">
        <f t="shared" si="1"/>
        <v>2</v>
      </c>
      <c r="N212" s="61"/>
      <c r="O212" s="62"/>
      <c r="P212" s="68" t="s">
        <v>38</v>
      </c>
      <c r="Q212" s="29"/>
      <c r="R212" s="29"/>
      <c r="S212" s="59"/>
      <c r="T212" s="60"/>
      <c r="U212" s="5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37.5" customHeight="1">
      <c r="A213" s="40">
        <v>208.0</v>
      </c>
      <c r="B213" s="125" t="s">
        <v>303</v>
      </c>
      <c r="C213" s="65" t="s">
        <v>309</v>
      </c>
      <c r="D213" s="54" t="str">
        <f>IMAGE("https://raw.githubusercontent.com/RedCat161/AoM/main/Vamp/vamp5_200.jpg")</f>
        <v/>
      </c>
      <c r="E213" s="55" t="str">
        <f>'Созвездия'!B9</f>
        <v/>
      </c>
      <c r="F213" s="77" t="s">
        <v>14</v>
      </c>
      <c r="G213" s="55" t="str">
        <f>'Созвездия'!B9</f>
        <v/>
      </c>
      <c r="H213" s="77" t="s">
        <v>14</v>
      </c>
      <c r="I213" s="55" t="str">
        <f>'Созвездия'!B9</f>
        <v/>
      </c>
      <c r="J213" s="77" t="s">
        <v>14</v>
      </c>
      <c r="K213" s="55" t="str">
        <f>'Созвездия'!B10</f>
        <v/>
      </c>
      <c r="L213" s="78" t="s">
        <v>15</v>
      </c>
      <c r="M213" s="57">
        <f t="shared" si="1"/>
        <v>0</v>
      </c>
      <c r="N213" s="61"/>
      <c r="O213" s="61" t="s">
        <v>38</v>
      </c>
      <c r="P213" s="61" t="s">
        <v>38</v>
      </c>
      <c r="Q213" s="29"/>
      <c r="R213" s="69" t="s">
        <v>50</v>
      </c>
      <c r="S213" s="59"/>
      <c r="T213" s="60"/>
      <c r="U213" s="5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37.5" customHeight="1">
      <c r="A214" s="40">
        <v>209.0</v>
      </c>
      <c r="B214" s="125" t="s">
        <v>303</v>
      </c>
      <c r="C214" s="65" t="s">
        <v>310</v>
      </c>
      <c r="D214" s="126" t="str">
        <f>IMAGE("https://raw.githubusercontent.com/RedCat161/AoM/main/Vamp/vamp6_200.jpg")</f>
        <v/>
      </c>
      <c r="E214" s="127" t="str">
        <f>'Созвездия'!B6</f>
        <v/>
      </c>
      <c r="F214" s="128" t="s">
        <v>11</v>
      </c>
      <c r="G214" s="127" t="str">
        <f>'Созвездия'!B6</f>
        <v/>
      </c>
      <c r="H214" s="128" t="s">
        <v>11</v>
      </c>
      <c r="I214" s="127" t="str">
        <f>'Созвездия'!B6</f>
        <v/>
      </c>
      <c r="J214" s="128" t="s">
        <v>11</v>
      </c>
      <c r="K214" s="127" t="str">
        <f>'Созвездия'!B11</f>
        <v/>
      </c>
      <c r="L214" s="78" t="s">
        <v>16</v>
      </c>
      <c r="M214" s="57">
        <f t="shared" si="1"/>
        <v>1</v>
      </c>
      <c r="N214" s="61"/>
      <c r="O214" s="61"/>
      <c r="P214" s="61"/>
      <c r="Q214" s="29"/>
      <c r="R214" s="29"/>
      <c r="S214" s="59"/>
      <c r="T214" s="60"/>
      <c r="U214" s="5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29"/>
      <c r="B215" s="129"/>
      <c r="C215" s="129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3"/>
      <c r="T215" s="130"/>
      <c r="U215" s="1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31"/>
      <c r="B216" s="131"/>
      <c r="C216" s="131"/>
      <c r="D216" s="3"/>
      <c r="E216" s="3"/>
      <c r="F216" s="3"/>
      <c r="G216" s="3"/>
      <c r="H216" s="3"/>
      <c r="I216" s="3"/>
      <c r="J216" s="3"/>
      <c r="K216" s="3"/>
      <c r="S216" s="39"/>
      <c r="T216" s="38"/>
      <c r="U216" s="39"/>
    </row>
    <row r="217" ht="15.75" customHeight="1">
      <c r="A217" s="131"/>
      <c r="B217" s="131"/>
      <c r="C217" s="131"/>
      <c r="D217" s="3"/>
      <c r="E217" s="3"/>
      <c r="F217" s="3"/>
      <c r="G217" s="3"/>
      <c r="H217" s="3"/>
      <c r="I217" s="3"/>
      <c r="J217" s="3"/>
      <c r="K217" s="3"/>
      <c r="S217" s="39"/>
      <c r="T217" s="38"/>
      <c r="U217" s="39"/>
    </row>
    <row r="218" ht="15.75" customHeight="1">
      <c r="A218" s="131"/>
      <c r="B218" s="131"/>
      <c r="C218" s="131"/>
      <c r="D218" s="3"/>
      <c r="E218" s="3"/>
      <c r="F218" s="3"/>
      <c r="G218" s="3"/>
      <c r="H218" s="3"/>
      <c r="I218" s="3"/>
      <c r="J218" s="3"/>
      <c r="K218" s="3"/>
      <c r="S218" s="39"/>
      <c r="T218" s="38"/>
      <c r="U218" s="39"/>
    </row>
    <row r="219" ht="15.75" customHeight="1">
      <c r="A219" s="131"/>
      <c r="B219" s="131"/>
      <c r="C219" s="131"/>
      <c r="D219" s="3"/>
      <c r="E219" s="3"/>
      <c r="F219" s="3"/>
      <c r="G219" s="3"/>
      <c r="H219" s="3"/>
      <c r="I219" s="3"/>
      <c r="J219" s="3"/>
      <c r="K219" s="3"/>
      <c r="S219" s="39"/>
      <c r="T219" s="38"/>
      <c r="U219" s="39"/>
    </row>
    <row r="220" ht="15.75" customHeight="1">
      <c r="A220" s="131"/>
      <c r="B220" s="131"/>
      <c r="C220" s="131"/>
      <c r="D220" s="3"/>
      <c r="E220" s="3"/>
      <c r="F220" s="3"/>
      <c r="G220" s="3"/>
      <c r="H220" s="3"/>
      <c r="I220" s="3"/>
      <c r="J220" s="3"/>
      <c r="K220" s="3"/>
      <c r="S220" s="39"/>
      <c r="T220" s="38"/>
      <c r="U220" s="39"/>
    </row>
    <row r="221" ht="15.75" customHeight="1">
      <c r="A221" s="131"/>
      <c r="B221" s="131"/>
      <c r="C221" s="131"/>
      <c r="D221" s="3"/>
      <c r="E221" s="3"/>
      <c r="F221" s="3"/>
      <c r="G221" s="3"/>
      <c r="H221" s="3"/>
      <c r="I221" s="3"/>
      <c r="J221" s="3"/>
      <c r="K221" s="3"/>
      <c r="S221" s="39"/>
      <c r="T221" s="38"/>
      <c r="U221" s="39"/>
    </row>
    <row r="222" ht="15.75" customHeight="1">
      <c r="A222" s="131"/>
      <c r="B222" s="131"/>
      <c r="C222" s="131"/>
      <c r="D222" s="3"/>
      <c r="E222" s="3"/>
      <c r="F222" s="3"/>
      <c r="G222" s="3"/>
      <c r="H222" s="3"/>
      <c r="I222" s="3"/>
      <c r="J222" s="3"/>
      <c r="K222" s="3"/>
      <c r="S222" s="39"/>
      <c r="T222" s="38"/>
      <c r="U222" s="39"/>
    </row>
    <row r="223" ht="15.75" customHeight="1">
      <c r="A223" s="131"/>
      <c r="B223" s="131"/>
      <c r="C223" s="131"/>
      <c r="D223" s="3"/>
      <c r="E223" s="3"/>
      <c r="F223" s="3"/>
      <c r="G223" s="3"/>
      <c r="H223" s="3"/>
      <c r="I223" s="3"/>
      <c r="J223" s="3"/>
      <c r="K223" s="3"/>
      <c r="S223" s="39"/>
      <c r="T223" s="38"/>
      <c r="U223" s="39"/>
    </row>
    <row r="224" ht="15.75" customHeight="1">
      <c r="A224" s="131"/>
      <c r="B224" s="131"/>
      <c r="C224" s="131"/>
      <c r="D224" s="3"/>
      <c r="E224" s="3"/>
      <c r="F224" s="3"/>
      <c r="G224" s="3"/>
      <c r="H224" s="3"/>
      <c r="I224" s="3"/>
      <c r="J224" s="3"/>
      <c r="K224" s="3"/>
      <c r="S224" s="39"/>
      <c r="T224" s="38"/>
      <c r="U224" s="39"/>
    </row>
    <row r="225" ht="15.75" customHeight="1">
      <c r="A225" s="131"/>
      <c r="B225" s="131"/>
      <c r="C225" s="131"/>
      <c r="D225" s="3"/>
      <c r="E225" s="3"/>
      <c r="F225" s="3"/>
      <c r="G225" s="3"/>
      <c r="H225" s="3"/>
      <c r="I225" s="3"/>
      <c r="J225" s="3"/>
      <c r="K225" s="3"/>
      <c r="S225" s="39"/>
      <c r="T225" s="38"/>
      <c r="U225" s="39"/>
    </row>
    <row r="226" ht="15.75" customHeight="1">
      <c r="A226" s="131"/>
      <c r="B226" s="131"/>
      <c r="C226" s="131"/>
      <c r="D226" s="3"/>
      <c r="E226" s="3"/>
      <c r="F226" s="3"/>
      <c r="G226" s="3"/>
      <c r="H226" s="3"/>
      <c r="I226" s="3"/>
      <c r="J226" s="3"/>
      <c r="K226" s="3"/>
      <c r="S226" s="39"/>
      <c r="T226" s="38"/>
      <c r="U226" s="39"/>
    </row>
    <row r="227" ht="15.75" customHeight="1">
      <c r="A227" s="131"/>
      <c r="B227" s="131"/>
      <c r="C227" s="131"/>
      <c r="D227" s="3"/>
      <c r="E227" s="3"/>
      <c r="F227" s="3"/>
      <c r="G227" s="3"/>
      <c r="H227" s="3"/>
      <c r="I227" s="3"/>
      <c r="J227" s="3"/>
      <c r="K227" s="3"/>
      <c r="S227" s="39"/>
      <c r="T227" s="38"/>
      <c r="U227" s="39"/>
    </row>
    <row r="228" ht="15.75" customHeight="1">
      <c r="A228" s="131"/>
      <c r="B228" s="131"/>
      <c r="C228" s="131"/>
      <c r="D228" s="3"/>
      <c r="E228" s="3"/>
      <c r="F228" s="3"/>
      <c r="G228" s="3"/>
      <c r="H228" s="3"/>
      <c r="I228" s="3"/>
      <c r="J228" s="3"/>
      <c r="K228" s="3"/>
      <c r="S228" s="39"/>
      <c r="T228" s="38"/>
      <c r="U228" s="39"/>
    </row>
    <row r="229" ht="15.75" customHeight="1">
      <c r="A229" s="131"/>
      <c r="B229" s="131"/>
      <c r="C229" s="131"/>
      <c r="D229" s="3"/>
      <c r="E229" s="3"/>
      <c r="F229" s="3"/>
      <c r="G229" s="3"/>
      <c r="H229" s="3"/>
      <c r="I229" s="3"/>
      <c r="J229" s="3"/>
      <c r="K229" s="3"/>
      <c r="S229" s="39"/>
      <c r="T229" s="38"/>
      <c r="U229" s="39"/>
    </row>
    <row r="230" ht="15.75" customHeight="1">
      <c r="A230" s="131"/>
      <c r="B230" s="131"/>
      <c r="C230" s="131"/>
      <c r="D230" s="3"/>
      <c r="E230" s="3"/>
      <c r="F230" s="3"/>
      <c r="G230" s="3"/>
      <c r="H230" s="3"/>
      <c r="I230" s="3"/>
      <c r="J230" s="3"/>
      <c r="K230" s="3"/>
      <c r="S230" s="39"/>
      <c r="T230" s="38"/>
      <c r="U230" s="39"/>
    </row>
    <row r="231" ht="15.75" customHeight="1">
      <c r="A231" s="131"/>
      <c r="B231" s="131"/>
      <c r="C231" s="131"/>
      <c r="D231" s="3"/>
      <c r="E231" s="3"/>
      <c r="F231" s="3"/>
      <c r="G231" s="3"/>
      <c r="H231" s="3"/>
      <c r="I231" s="3"/>
      <c r="J231" s="3"/>
      <c r="K231" s="3"/>
      <c r="S231" s="39"/>
      <c r="T231" s="38"/>
      <c r="U231" s="39"/>
    </row>
    <row r="232" ht="15.75" customHeight="1">
      <c r="A232" s="131"/>
      <c r="B232" s="131"/>
      <c r="C232" s="131"/>
      <c r="D232" s="3"/>
      <c r="E232" s="3"/>
      <c r="F232" s="3"/>
      <c r="G232" s="3"/>
      <c r="H232" s="3"/>
      <c r="I232" s="3"/>
      <c r="J232" s="3"/>
      <c r="K232" s="3"/>
      <c r="S232" s="39"/>
      <c r="T232" s="38"/>
      <c r="U232" s="39"/>
    </row>
    <row r="233" ht="15.75" customHeight="1">
      <c r="A233" s="131"/>
      <c r="B233" s="131"/>
      <c r="C233" s="131"/>
      <c r="D233" s="3"/>
      <c r="E233" s="3"/>
      <c r="F233" s="3"/>
      <c r="G233" s="3"/>
      <c r="H233" s="3"/>
      <c r="I233" s="3"/>
      <c r="J233" s="3"/>
      <c r="K233" s="3"/>
      <c r="S233" s="39"/>
      <c r="T233" s="38"/>
      <c r="U233" s="39"/>
    </row>
    <row r="234" ht="15.75" customHeight="1">
      <c r="A234" s="131"/>
      <c r="B234" s="131"/>
      <c r="C234" s="131"/>
      <c r="D234" s="3"/>
      <c r="E234" s="3"/>
      <c r="F234" s="3"/>
      <c r="G234" s="3"/>
      <c r="H234" s="3"/>
      <c r="I234" s="3"/>
      <c r="J234" s="3"/>
      <c r="K234" s="3"/>
      <c r="S234" s="39"/>
      <c r="T234" s="38"/>
      <c r="U234" s="39"/>
    </row>
    <row r="235" ht="15.75" customHeight="1">
      <c r="A235" s="131"/>
      <c r="B235" s="131"/>
      <c r="C235" s="131"/>
      <c r="D235" s="3"/>
      <c r="E235" s="3"/>
      <c r="F235" s="3"/>
      <c r="G235" s="3"/>
      <c r="H235" s="3"/>
      <c r="I235" s="3"/>
      <c r="J235" s="3"/>
      <c r="K235" s="3"/>
      <c r="S235" s="39"/>
      <c r="T235" s="38"/>
      <c r="U235" s="39"/>
    </row>
    <row r="236" ht="15.75" customHeight="1">
      <c r="A236" s="131"/>
      <c r="B236" s="131"/>
      <c r="C236" s="131"/>
      <c r="D236" s="3"/>
      <c r="E236" s="3"/>
      <c r="F236" s="3"/>
      <c r="G236" s="3"/>
      <c r="H236" s="3"/>
      <c r="I236" s="3"/>
      <c r="J236" s="3"/>
      <c r="K236" s="3"/>
      <c r="S236" s="39"/>
      <c r="T236" s="38"/>
      <c r="U236" s="39"/>
    </row>
    <row r="237" ht="15.75" customHeight="1">
      <c r="A237" s="131"/>
      <c r="B237" s="131"/>
      <c r="C237" s="131"/>
      <c r="D237" s="3"/>
      <c r="E237" s="3"/>
      <c r="F237" s="3"/>
      <c r="G237" s="3"/>
      <c r="H237" s="3"/>
      <c r="I237" s="3"/>
      <c r="J237" s="3"/>
      <c r="K237" s="3"/>
      <c r="S237" s="39"/>
      <c r="T237" s="38"/>
      <c r="U237" s="39"/>
    </row>
    <row r="238" ht="15.75" customHeight="1">
      <c r="A238" s="131"/>
      <c r="B238" s="131"/>
      <c r="C238" s="131"/>
      <c r="D238" s="3"/>
      <c r="E238" s="3"/>
      <c r="F238" s="3"/>
      <c r="G238" s="3"/>
      <c r="H238" s="3"/>
      <c r="I238" s="3"/>
      <c r="J238" s="3"/>
      <c r="K238" s="3"/>
      <c r="S238" s="39"/>
      <c r="T238" s="38"/>
      <c r="U238" s="39"/>
    </row>
    <row r="239" ht="15.75" customHeight="1">
      <c r="A239" s="131"/>
      <c r="B239" s="131"/>
      <c r="C239" s="131"/>
      <c r="D239" s="3"/>
      <c r="E239" s="3"/>
      <c r="F239" s="3"/>
      <c r="G239" s="3"/>
      <c r="H239" s="3"/>
      <c r="I239" s="3"/>
      <c r="J239" s="3"/>
      <c r="K239" s="3"/>
      <c r="S239" s="39"/>
      <c r="T239" s="38"/>
      <c r="U239" s="39"/>
    </row>
    <row r="240" ht="15.75" customHeight="1">
      <c r="A240" s="131"/>
      <c r="B240" s="131"/>
      <c r="C240" s="131"/>
      <c r="D240" s="3"/>
      <c r="E240" s="3"/>
      <c r="F240" s="3"/>
      <c r="G240" s="3"/>
      <c r="H240" s="3"/>
      <c r="I240" s="3"/>
      <c r="J240" s="3"/>
      <c r="K240" s="3"/>
      <c r="S240" s="39"/>
      <c r="T240" s="38"/>
      <c r="U240" s="39"/>
    </row>
    <row r="241" ht="15.75" customHeight="1">
      <c r="A241" s="131"/>
      <c r="B241" s="131"/>
      <c r="C241" s="131"/>
      <c r="D241" s="3"/>
      <c r="E241" s="3"/>
      <c r="F241" s="3"/>
      <c r="G241" s="3"/>
      <c r="H241" s="3"/>
      <c r="I241" s="3"/>
      <c r="J241" s="3"/>
      <c r="K241" s="3"/>
      <c r="S241" s="39"/>
      <c r="T241" s="38"/>
      <c r="U241" s="39"/>
    </row>
    <row r="242" ht="15.75" customHeight="1">
      <c r="A242" s="131"/>
      <c r="B242" s="131"/>
      <c r="C242" s="131"/>
      <c r="D242" s="3"/>
      <c r="E242" s="3"/>
      <c r="F242" s="3"/>
      <c r="G242" s="3"/>
      <c r="H242" s="3"/>
      <c r="I242" s="3"/>
      <c r="J242" s="3"/>
      <c r="K242" s="3"/>
      <c r="S242" s="39"/>
      <c r="T242" s="38"/>
      <c r="U242" s="39"/>
    </row>
    <row r="243" ht="15.75" customHeight="1">
      <c r="A243" s="131"/>
      <c r="B243" s="131"/>
      <c r="C243" s="131"/>
      <c r="D243" s="3"/>
      <c r="E243" s="3"/>
      <c r="F243" s="3"/>
      <c r="G243" s="3"/>
      <c r="H243" s="3"/>
      <c r="I243" s="3"/>
      <c r="J243" s="3"/>
      <c r="K243" s="3"/>
      <c r="S243" s="39"/>
      <c r="T243" s="38"/>
      <c r="U243" s="39"/>
    </row>
    <row r="244" ht="15.75" customHeight="1">
      <c r="A244" s="131"/>
      <c r="B244" s="131"/>
      <c r="C244" s="131"/>
      <c r="D244" s="3"/>
      <c r="E244" s="3"/>
      <c r="F244" s="3"/>
      <c r="G244" s="3"/>
      <c r="H244" s="3"/>
      <c r="I244" s="3"/>
      <c r="J244" s="3"/>
      <c r="K244" s="3"/>
      <c r="S244" s="39"/>
      <c r="T244" s="38"/>
      <c r="U244" s="39"/>
    </row>
    <row r="245" ht="15.75" customHeight="1">
      <c r="A245" s="131"/>
      <c r="B245" s="131"/>
      <c r="C245" s="131"/>
      <c r="D245" s="3"/>
      <c r="E245" s="3"/>
      <c r="F245" s="3"/>
      <c r="G245" s="3"/>
      <c r="H245" s="3"/>
      <c r="I245" s="3"/>
      <c r="J245" s="3"/>
      <c r="K245" s="3"/>
      <c r="S245" s="39"/>
      <c r="T245" s="38"/>
      <c r="U245" s="39"/>
    </row>
    <row r="246" ht="15.75" customHeight="1">
      <c r="A246" s="131"/>
      <c r="B246" s="131"/>
      <c r="C246" s="131"/>
      <c r="D246" s="3"/>
      <c r="E246" s="3"/>
      <c r="F246" s="3"/>
      <c r="G246" s="3"/>
      <c r="H246" s="3"/>
      <c r="I246" s="3"/>
      <c r="J246" s="3"/>
      <c r="K246" s="3"/>
      <c r="S246" s="39"/>
      <c r="T246" s="38"/>
      <c r="U246" s="39"/>
    </row>
    <row r="247" ht="15.75" customHeight="1">
      <c r="A247" s="131"/>
      <c r="B247" s="131"/>
      <c r="C247" s="131"/>
      <c r="D247" s="3"/>
      <c r="E247" s="3"/>
      <c r="F247" s="3"/>
      <c r="G247" s="3"/>
      <c r="H247" s="3"/>
      <c r="I247" s="3"/>
      <c r="J247" s="3"/>
      <c r="K247" s="3"/>
      <c r="S247" s="39"/>
      <c r="T247" s="38"/>
      <c r="U247" s="39"/>
    </row>
    <row r="248" ht="15.75" customHeight="1">
      <c r="A248" s="131"/>
      <c r="B248" s="131"/>
      <c r="C248" s="131"/>
      <c r="D248" s="3"/>
      <c r="E248" s="3"/>
      <c r="F248" s="3"/>
      <c r="G248" s="3"/>
      <c r="H248" s="3"/>
      <c r="I248" s="3"/>
      <c r="J248" s="3"/>
      <c r="K248" s="3"/>
      <c r="S248" s="39"/>
      <c r="T248" s="38"/>
      <c r="U248" s="39"/>
    </row>
    <row r="249" ht="15.75" customHeight="1">
      <c r="A249" s="131"/>
      <c r="B249" s="131"/>
      <c r="C249" s="131"/>
      <c r="D249" s="3"/>
      <c r="E249" s="3"/>
      <c r="F249" s="3"/>
      <c r="G249" s="3"/>
      <c r="H249" s="3"/>
      <c r="I249" s="3"/>
      <c r="J249" s="3"/>
      <c r="K249" s="3"/>
      <c r="S249" s="39"/>
      <c r="T249" s="38"/>
      <c r="U249" s="39"/>
    </row>
    <row r="250" ht="15.75" customHeight="1">
      <c r="A250" s="131"/>
      <c r="B250" s="131"/>
      <c r="C250" s="131"/>
      <c r="D250" s="3"/>
      <c r="E250" s="3"/>
      <c r="F250" s="3"/>
      <c r="G250" s="3"/>
      <c r="H250" s="3"/>
      <c r="I250" s="3"/>
      <c r="J250" s="3"/>
      <c r="K250" s="3"/>
      <c r="S250" s="39"/>
      <c r="T250" s="38"/>
      <c r="U250" s="39"/>
    </row>
    <row r="251" ht="15.75" customHeight="1">
      <c r="A251" s="131"/>
      <c r="B251" s="131"/>
      <c r="C251" s="131"/>
      <c r="D251" s="3"/>
      <c r="E251" s="3"/>
      <c r="F251" s="3"/>
      <c r="G251" s="3"/>
      <c r="H251" s="3"/>
      <c r="I251" s="3"/>
      <c r="J251" s="3"/>
      <c r="K251" s="3"/>
      <c r="S251" s="39"/>
      <c r="T251" s="38"/>
      <c r="U251" s="39"/>
    </row>
    <row r="252" ht="15.75" customHeight="1">
      <c r="A252" s="131"/>
      <c r="B252" s="131"/>
      <c r="C252" s="131"/>
      <c r="D252" s="3"/>
      <c r="E252" s="3"/>
      <c r="F252" s="3"/>
      <c r="G252" s="3"/>
      <c r="H252" s="3"/>
      <c r="I252" s="3"/>
      <c r="J252" s="3"/>
      <c r="K252" s="3"/>
      <c r="S252" s="39"/>
      <c r="T252" s="38"/>
      <c r="U252" s="39"/>
    </row>
    <row r="253" ht="15.75" customHeight="1">
      <c r="A253" s="131"/>
      <c r="B253" s="131"/>
      <c r="C253" s="131"/>
      <c r="D253" s="3"/>
      <c r="E253" s="3"/>
      <c r="F253" s="3"/>
      <c r="G253" s="3"/>
      <c r="H253" s="3"/>
      <c r="I253" s="3"/>
      <c r="J253" s="3"/>
      <c r="K253" s="3"/>
      <c r="S253" s="39"/>
      <c r="T253" s="38"/>
      <c r="U253" s="39"/>
    </row>
    <row r="254" ht="15.75" customHeight="1">
      <c r="A254" s="131"/>
      <c r="B254" s="131"/>
      <c r="C254" s="131"/>
      <c r="D254" s="3"/>
      <c r="E254" s="3"/>
      <c r="F254" s="3"/>
      <c r="G254" s="3"/>
      <c r="H254" s="3"/>
      <c r="I254" s="3"/>
      <c r="J254" s="3"/>
      <c r="K254" s="3"/>
      <c r="S254" s="39"/>
      <c r="T254" s="38"/>
      <c r="U254" s="39"/>
    </row>
    <row r="255" ht="15.75" customHeight="1">
      <c r="A255" s="131"/>
      <c r="B255" s="131"/>
      <c r="C255" s="131"/>
      <c r="D255" s="3"/>
      <c r="E255" s="3"/>
      <c r="F255" s="3"/>
      <c r="G255" s="3"/>
      <c r="H255" s="3"/>
      <c r="I255" s="3"/>
      <c r="J255" s="3"/>
      <c r="K255" s="3"/>
      <c r="S255" s="39"/>
      <c r="T255" s="38"/>
      <c r="U255" s="39"/>
    </row>
    <row r="256" ht="15.75" customHeight="1">
      <c r="A256" s="131"/>
      <c r="B256" s="131"/>
      <c r="C256" s="131"/>
      <c r="D256" s="3"/>
      <c r="E256" s="3"/>
      <c r="F256" s="3"/>
      <c r="G256" s="3"/>
      <c r="H256" s="3"/>
      <c r="I256" s="3"/>
      <c r="J256" s="3"/>
      <c r="K256" s="3"/>
      <c r="S256" s="39"/>
      <c r="T256" s="38"/>
      <c r="U256" s="39"/>
    </row>
    <row r="257" ht="15.75" customHeight="1">
      <c r="A257" s="131"/>
      <c r="B257" s="131"/>
      <c r="C257" s="131"/>
      <c r="D257" s="3"/>
      <c r="E257" s="3"/>
      <c r="F257" s="3"/>
      <c r="G257" s="3"/>
      <c r="H257" s="3"/>
      <c r="I257" s="3"/>
      <c r="J257" s="3"/>
      <c r="K257" s="3"/>
      <c r="S257" s="39"/>
      <c r="T257" s="38"/>
      <c r="U257" s="39"/>
    </row>
    <row r="258" ht="15.75" customHeight="1">
      <c r="A258" s="131"/>
      <c r="B258" s="131"/>
      <c r="C258" s="131"/>
      <c r="D258" s="3"/>
      <c r="E258" s="3"/>
      <c r="F258" s="3"/>
      <c r="G258" s="3"/>
      <c r="H258" s="3"/>
      <c r="I258" s="3"/>
      <c r="J258" s="3"/>
      <c r="K258" s="3"/>
      <c r="S258" s="39"/>
      <c r="T258" s="38"/>
      <c r="U258" s="39"/>
    </row>
    <row r="259" ht="15.75" customHeight="1">
      <c r="A259" s="131"/>
      <c r="B259" s="131"/>
      <c r="C259" s="131"/>
      <c r="D259" s="3"/>
      <c r="E259" s="3"/>
      <c r="F259" s="3"/>
      <c r="G259" s="3"/>
      <c r="H259" s="3"/>
      <c r="I259" s="3"/>
      <c r="J259" s="3"/>
      <c r="K259" s="3"/>
      <c r="S259" s="39"/>
      <c r="T259" s="38"/>
      <c r="U259" s="39"/>
    </row>
    <row r="260" ht="15.75" customHeight="1">
      <c r="A260" s="131"/>
      <c r="B260" s="131"/>
      <c r="C260" s="131"/>
      <c r="D260" s="3"/>
      <c r="E260" s="3"/>
      <c r="F260" s="3"/>
      <c r="G260" s="3"/>
      <c r="H260" s="3"/>
      <c r="I260" s="3"/>
      <c r="J260" s="3"/>
      <c r="K260" s="3"/>
      <c r="S260" s="39"/>
      <c r="T260" s="38"/>
      <c r="U260" s="39"/>
    </row>
    <row r="261" ht="15.75" customHeight="1">
      <c r="A261" s="131"/>
      <c r="B261" s="131"/>
      <c r="C261" s="131"/>
      <c r="D261" s="3"/>
      <c r="E261" s="3"/>
      <c r="F261" s="3"/>
      <c r="G261" s="3"/>
      <c r="H261" s="3"/>
      <c r="I261" s="3"/>
      <c r="J261" s="3"/>
      <c r="K261" s="3"/>
      <c r="S261" s="39"/>
      <c r="T261" s="38"/>
      <c r="U261" s="39"/>
    </row>
    <row r="262" ht="15.75" customHeight="1">
      <c r="A262" s="131"/>
      <c r="B262" s="131"/>
      <c r="C262" s="131"/>
      <c r="D262" s="3"/>
      <c r="E262" s="3"/>
      <c r="F262" s="3"/>
      <c r="G262" s="3"/>
      <c r="H262" s="3"/>
      <c r="I262" s="3"/>
      <c r="J262" s="3"/>
      <c r="K262" s="3"/>
      <c r="S262" s="39"/>
      <c r="T262" s="38"/>
      <c r="U262" s="39"/>
    </row>
    <row r="263" ht="15.75" customHeight="1">
      <c r="A263" s="131"/>
      <c r="B263" s="131"/>
      <c r="C263" s="131"/>
      <c r="D263" s="3"/>
      <c r="E263" s="3"/>
      <c r="F263" s="3"/>
      <c r="G263" s="3"/>
      <c r="H263" s="3"/>
      <c r="I263" s="3"/>
      <c r="J263" s="3"/>
      <c r="K263" s="3"/>
      <c r="S263" s="39"/>
      <c r="T263" s="38"/>
      <c r="U263" s="39"/>
    </row>
    <row r="264" ht="15.75" customHeight="1">
      <c r="A264" s="131"/>
      <c r="B264" s="131"/>
      <c r="C264" s="131"/>
      <c r="D264" s="3"/>
      <c r="E264" s="3"/>
      <c r="F264" s="3"/>
      <c r="G264" s="3"/>
      <c r="H264" s="3"/>
      <c r="I264" s="3"/>
      <c r="J264" s="3"/>
      <c r="K264" s="3"/>
      <c r="S264" s="39"/>
      <c r="T264" s="38"/>
      <c r="U264" s="39"/>
    </row>
    <row r="265" ht="15.75" customHeight="1">
      <c r="A265" s="131"/>
      <c r="B265" s="131"/>
      <c r="C265" s="131"/>
      <c r="D265" s="3"/>
      <c r="E265" s="3"/>
      <c r="F265" s="3"/>
      <c r="G265" s="3"/>
      <c r="H265" s="3"/>
      <c r="I265" s="3"/>
      <c r="J265" s="3"/>
      <c r="K265" s="3"/>
      <c r="S265" s="39"/>
      <c r="T265" s="38"/>
      <c r="U265" s="39"/>
    </row>
    <row r="266" ht="15.75" customHeight="1">
      <c r="A266" s="131"/>
      <c r="B266" s="131"/>
      <c r="C266" s="131"/>
      <c r="D266" s="3"/>
      <c r="E266" s="3"/>
      <c r="F266" s="3"/>
      <c r="G266" s="3"/>
      <c r="H266" s="3"/>
      <c r="I266" s="3"/>
      <c r="J266" s="3"/>
      <c r="K266" s="3"/>
      <c r="S266" s="39"/>
      <c r="T266" s="38"/>
      <c r="U266" s="39"/>
    </row>
    <row r="267" ht="15.75" customHeight="1">
      <c r="A267" s="131"/>
      <c r="B267" s="131"/>
      <c r="C267" s="131"/>
      <c r="D267" s="3"/>
      <c r="E267" s="3"/>
      <c r="F267" s="3"/>
      <c r="G267" s="3"/>
      <c r="H267" s="3"/>
      <c r="I267" s="3"/>
      <c r="J267" s="3"/>
      <c r="K267" s="3"/>
      <c r="S267" s="39"/>
      <c r="T267" s="38"/>
      <c r="U267" s="39"/>
    </row>
    <row r="268" ht="15.75" customHeight="1">
      <c r="A268" s="131"/>
      <c r="B268" s="131"/>
      <c r="C268" s="131"/>
      <c r="D268" s="3"/>
      <c r="E268" s="3"/>
      <c r="F268" s="3"/>
      <c r="G268" s="3"/>
      <c r="H268" s="3"/>
      <c r="I268" s="3"/>
      <c r="J268" s="3"/>
      <c r="K268" s="3"/>
      <c r="S268" s="39"/>
      <c r="T268" s="38"/>
      <c r="U268" s="39"/>
    </row>
    <row r="269" ht="15.75" customHeight="1">
      <c r="A269" s="131"/>
      <c r="B269" s="131"/>
      <c r="C269" s="131"/>
      <c r="D269" s="3"/>
      <c r="E269" s="3"/>
      <c r="F269" s="3"/>
      <c r="G269" s="3"/>
      <c r="H269" s="3"/>
      <c r="I269" s="3"/>
      <c r="J269" s="3"/>
      <c r="K269" s="3"/>
      <c r="S269" s="39"/>
      <c r="T269" s="38"/>
      <c r="U269" s="39"/>
    </row>
    <row r="270" ht="15.75" customHeight="1">
      <c r="A270" s="131"/>
      <c r="B270" s="131"/>
      <c r="C270" s="131"/>
      <c r="D270" s="3"/>
      <c r="E270" s="3"/>
      <c r="F270" s="3"/>
      <c r="G270" s="3"/>
      <c r="H270" s="3"/>
      <c r="I270" s="3"/>
      <c r="J270" s="3"/>
      <c r="K270" s="3"/>
      <c r="S270" s="39"/>
      <c r="T270" s="38"/>
      <c r="U270" s="39"/>
    </row>
    <row r="271" ht="15.75" customHeight="1">
      <c r="A271" s="131"/>
      <c r="B271" s="131"/>
      <c r="C271" s="131"/>
      <c r="D271" s="3"/>
      <c r="E271" s="3"/>
      <c r="F271" s="3"/>
      <c r="G271" s="3"/>
      <c r="H271" s="3"/>
      <c r="I271" s="3"/>
      <c r="J271" s="3"/>
      <c r="K271" s="3"/>
      <c r="S271" s="39"/>
      <c r="T271" s="38"/>
      <c r="U271" s="39"/>
    </row>
    <row r="272" ht="15.75" customHeight="1">
      <c r="A272" s="131"/>
      <c r="B272" s="131"/>
      <c r="C272" s="131"/>
      <c r="D272" s="3"/>
      <c r="E272" s="3"/>
      <c r="F272" s="3"/>
      <c r="G272" s="3"/>
      <c r="H272" s="3"/>
      <c r="I272" s="3"/>
      <c r="J272" s="3"/>
      <c r="K272" s="3"/>
      <c r="S272" s="39"/>
      <c r="T272" s="38"/>
      <c r="U272" s="39"/>
    </row>
    <row r="273" ht="15.75" customHeight="1">
      <c r="A273" s="131"/>
      <c r="B273" s="131"/>
      <c r="C273" s="131"/>
      <c r="D273" s="3"/>
      <c r="E273" s="3"/>
      <c r="F273" s="3"/>
      <c r="G273" s="3"/>
      <c r="H273" s="3"/>
      <c r="I273" s="3"/>
      <c r="J273" s="3"/>
      <c r="K273" s="3"/>
      <c r="S273" s="39"/>
      <c r="T273" s="38"/>
      <c r="U273" s="39"/>
    </row>
    <row r="274" ht="15.75" customHeight="1">
      <c r="A274" s="131"/>
      <c r="B274" s="131"/>
      <c r="C274" s="131"/>
      <c r="D274" s="3"/>
      <c r="E274" s="3"/>
      <c r="F274" s="3"/>
      <c r="G274" s="3"/>
      <c r="H274" s="3"/>
      <c r="I274" s="3"/>
      <c r="J274" s="3"/>
      <c r="K274" s="3"/>
      <c r="S274" s="39"/>
      <c r="T274" s="38"/>
      <c r="U274" s="39"/>
    </row>
    <row r="275" ht="15.75" customHeight="1">
      <c r="A275" s="131"/>
      <c r="B275" s="131"/>
      <c r="C275" s="131"/>
      <c r="S275" s="39"/>
      <c r="T275" s="38"/>
      <c r="U275" s="39"/>
    </row>
    <row r="276" ht="15.75" customHeight="1">
      <c r="A276" s="131"/>
      <c r="B276" s="131"/>
      <c r="C276" s="131"/>
      <c r="S276" s="39"/>
      <c r="T276" s="38"/>
      <c r="U276" s="39"/>
    </row>
    <row r="277" ht="15.75" customHeight="1">
      <c r="A277" s="131"/>
      <c r="B277" s="131"/>
      <c r="C277" s="131"/>
      <c r="S277" s="39"/>
      <c r="T277" s="38"/>
      <c r="U277" s="39"/>
    </row>
    <row r="278" ht="15.75" customHeight="1">
      <c r="A278" s="131"/>
      <c r="B278" s="131"/>
      <c r="C278" s="131"/>
      <c r="S278" s="39"/>
      <c r="T278" s="38"/>
      <c r="U278" s="39"/>
    </row>
    <row r="279" ht="15.75" customHeight="1">
      <c r="A279" s="131"/>
      <c r="B279" s="131"/>
      <c r="C279" s="131"/>
      <c r="S279" s="39"/>
      <c r="T279" s="38"/>
      <c r="U279" s="39"/>
    </row>
    <row r="280" ht="15.75" customHeight="1">
      <c r="A280" s="131"/>
      <c r="B280" s="131"/>
      <c r="C280" s="131"/>
      <c r="S280" s="39"/>
      <c r="T280" s="38"/>
      <c r="U280" s="39"/>
    </row>
    <row r="281" ht="15.75" customHeight="1">
      <c r="A281" s="131"/>
      <c r="B281" s="131"/>
      <c r="C281" s="131"/>
      <c r="S281" s="39"/>
      <c r="T281" s="38"/>
      <c r="U281" s="39"/>
    </row>
    <row r="282" ht="15.75" customHeight="1">
      <c r="A282" s="131"/>
      <c r="B282" s="131"/>
      <c r="C282" s="131"/>
      <c r="S282" s="39"/>
      <c r="T282" s="38"/>
      <c r="U282" s="39"/>
    </row>
    <row r="283" ht="15.75" customHeight="1">
      <c r="A283" s="131"/>
      <c r="B283" s="131"/>
      <c r="C283" s="131"/>
      <c r="S283" s="39"/>
      <c r="T283" s="38"/>
      <c r="U283" s="39"/>
    </row>
    <row r="284" ht="15.75" customHeight="1">
      <c r="A284" s="131"/>
      <c r="B284" s="131"/>
      <c r="C284" s="131"/>
      <c r="S284" s="39"/>
      <c r="T284" s="38"/>
      <c r="U284" s="39"/>
    </row>
    <row r="285" ht="15.75" customHeight="1">
      <c r="A285" s="131"/>
      <c r="B285" s="131"/>
      <c r="C285" s="131"/>
      <c r="S285" s="39"/>
      <c r="T285" s="38"/>
      <c r="U285" s="39"/>
    </row>
    <row r="286" ht="15.75" customHeight="1">
      <c r="A286" s="131"/>
      <c r="B286" s="131"/>
      <c r="C286" s="131"/>
      <c r="S286" s="39"/>
      <c r="T286" s="38"/>
      <c r="U286" s="39"/>
    </row>
    <row r="287" ht="15.75" customHeight="1">
      <c r="A287" s="131"/>
      <c r="B287" s="131"/>
      <c r="C287" s="131"/>
      <c r="S287" s="39"/>
      <c r="T287" s="38"/>
      <c r="U287" s="39"/>
    </row>
    <row r="288" ht="15.75" customHeight="1">
      <c r="A288" s="131"/>
      <c r="B288" s="131"/>
      <c r="C288" s="131"/>
      <c r="S288" s="39"/>
      <c r="T288" s="38"/>
      <c r="U288" s="39"/>
    </row>
    <row r="289" ht="15.75" customHeight="1">
      <c r="A289" s="131"/>
      <c r="B289" s="131"/>
      <c r="C289" s="131"/>
      <c r="S289" s="39"/>
      <c r="T289" s="38"/>
      <c r="U289" s="39"/>
    </row>
    <row r="290" ht="15.75" customHeight="1">
      <c r="A290" s="131"/>
      <c r="B290" s="131"/>
      <c r="C290" s="131"/>
      <c r="S290" s="39"/>
      <c r="T290" s="38"/>
      <c r="U290" s="39"/>
    </row>
    <row r="291" ht="15.75" customHeight="1">
      <c r="A291" s="131"/>
      <c r="B291" s="131"/>
      <c r="C291" s="131"/>
      <c r="S291" s="39"/>
      <c r="T291" s="38"/>
      <c r="U291" s="39"/>
    </row>
    <row r="292" ht="15.75" customHeight="1">
      <c r="A292" s="131"/>
      <c r="B292" s="131"/>
      <c r="C292" s="131"/>
      <c r="S292" s="39"/>
      <c r="T292" s="38"/>
      <c r="U292" s="39"/>
    </row>
    <row r="293" ht="15.75" customHeight="1">
      <c r="A293" s="131"/>
      <c r="B293" s="131"/>
      <c r="C293" s="131"/>
      <c r="S293" s="39"/>
      <c r="T293" s="38"/>
      <c r="U293" s="39"/>
    </row>
    <row r="294" ht="15.75" customHeight="1">
      <c r="A294" s="131"/>
      <c r="B294" s="131"/>
      <c r="C294" s="131"/>
      <c r="S294" s="39"/>
      <c r="T294" s="38"/>
      <c r="U294" s="39"/>
    </row>
    <row r="295" ht="15.75" customHeight="1">
      <c r="A295" s="131"/>
      <c r="B295" s="131"/>
      <c r="C295" s="131"/>
      <c r="S295" s="39"/>
      <c r="T295" s="38"/>
      <c r="U295" s="39"/>
    </row>
    <row r="296" ht="15.75" customHeight="1">
      <c r="A296" s="131"/>
      <c r="B296" s="131"/>
      <c r="C296" s="131"/>
      <c r="S296" s="39"/>
      <c r="T296" s="38"/>
      <c r="U296" s="39"/>
    </row>
    <row r="297" ht="15.75" customHeight="1">
      <c r="A297" s="131"/>
      <c r="B297" s="131"/>
      <c r="C297" s="131"/>
      <c r="S297" s="39"/>
      <c r="T297" s="38"/>
      <c r="U297" s="39"/>
    </row>
    <row r="298" ht="15.75" customHeight="1">
      <c r="A298" s="131"/>
      <c r="B298" s="131"/>
      <c r="C298" s="131"/>
      <c r="S298" s="39"/>
      <c r="T298" s="38"/>
      <c r="U298" s="39"/>
    </row>
    <row r="299" ht="15.75" customHeight="1">
      <c r="A299" s="131"/>
      <c r="B299" s="131"/>
      <c r="C299" s="131"/>
      <c r="S299" s="39"/>
      <c r="T299" s="38"/>
      <c r="U299" s="39"/>
    </row>
    <row r="300" ht="15.75" customHeight="1">
      <c r="A300" s="131"/>
      <c r="B300" s="131"/>
      <c r="C300" s="131"/>
      <c r="S300" s="39"/>
      <c r="T300" s="38"/>
      <c r="U300" s="39"/>
    </row>
    <row r="301" ht="15.75" customHeight="1">
      <c r="A301" s="131"/>
      <c r="B301" s="131"/>
      <c r="C301" s="131"/>
      <c r="S301" s="39"/>
      <c r="T301" s="38"/>
      <c r="U301" s="39"/>
    </row>
    <row r="302" ht="15.75" customHeight="1">
      <c r="A302" s="131"/>
      <c r="B302" s="131"/>
      <c r="C302" s="131"/>
      <c r="S302" s="39"/>
      <c r="T302" s="38"/>
      <c r="U302" s="39"/>
    </row>
    <row r="303" ht="15.75" customHeight="1">
      <c r="A303" s="131"/>
      <c r="B303" s="131"/>
      <c r="C303" s="131"/>
      <c r="S303" s="39"/>
      <c r="T303" s="38"/>
      <c r="U303" s="39"/>
    </row>
    <row r="304" ht="15.75" customHeight="1">
      <c r="A304" s="131"/>
      <c r="B304" s="131"/>
      <c r="C304" s="131"/>
      <c r="S304" s="39"/>
      <c r="T304" s="38"/>
      <c r="U304" s="39"/>
    </row>
    <row r="305" ht="15.75" customHeight="1">
      <c r="A305" s="131"/>
      <c r="B305" s="131"/>
      <c r="C305" s="131"/>
      <c r="S305" s="39"/>
      <c r="T305" s="38"/>
      <c r="U305" s="39"/>
    </row>
    <row r="306" ht="15.75" customHeight="1">
      <c r="A306" s="131"/>
      <c r="B306" s="131"/>
      <c r="C306" s="131"/>
      <c r="S306" s="39"/>
      <c r="T306" s="38"/>
      <c r="U306" s="39"/>
    </row>
    <row r="307" ht="15.75" customHeight="1">
      <c r="A307" s="131"/>
      <c r="B307" s="131"/>
      <c r="C307" s="131"/>
      <c r="S307" s="39"/>
      <c r="T307" s="38"/>
      <c r="U307" s="39"/>
    </row>
    <row r="308" ht="15.75" customHeight="1">
      <c r="A308" s="131"/>
      <c r="B308" s="131"/>
      <c r="C308" s="131"/>
      <c r="S308" s="39"/>
      <c r="T308" s="38"/>
      <c r="U308" s="39"/>
    </row>
    <row r="309" ht="15.75" customHeight="1">
      <c r="A309" s="131"/>
      <c r="B309" s="131"/>
      <c r="C309" s="131"/>
      <c r="S309" s="39"/>
      <c r="T309" s="38"/>
      <c r="U309" s="39"/>
    </row>
    <row r="310" ht="15.75" customHeight="1">
      <c r="A310" s="131"/>
      <c r="B310" s="131"/>
      <c r="C310" s="131"/>
      <c r="S310" s="39"/>
      <c r="T310" s="38"/>
      <c r="U310" s="39"/>
    </row>
    <row r="311" ht="15.75" customHeight="1">
      <c r="A311" s="131"/>
      <c r="B311" s="131"/>
      <c r="C311" s="131"/>
      <c r="S311" s="39"/>
      <c r="T311" s="38"/>
      <c r="U311" s="39"/>
    </row>
    <row r="312" ht="15.75" customHeight="1">
      <c r="A312" s="131"/>
      <c r="B312" s="131"/>
      <c r="C312" s="131"/>
      <c r="S312" s="39"/>
      <c r="T312" s="38"/>
      <c r="U312" s="39"/>
    </row>
    <row r="313" ht="15.75" customHeight="1">
      <c r="A313" s="131"/>
      <c r="B313" s="131"/>
      <c r="C313" s="131"/>
      <c r="S313" s="39"/>
      <c r="T313" s="38"/>
      <c r="U313" s="39"/>
    </row>
    <row r="314" ht="15.75" customHeight="1">
      <c r="A314" s="131"/>
      <c r="B314" s="131"/>
      <c r="C314" s="131"/>
      <c r="S314" s="39"/>
      <c r="T314" s="38"/>
      <c r="U314" s="39"/>
    </row>
    <row r="315" ht="15.75" customHeight="1">
      <c r="A315" s="131"/>
      <c r="B315" s="131"/>
      <c r="C315" s="131"/>
      <c r="S315" s="39"/>
      <c r="T315" s="38"/>
      <c r="U315" s="39"/>
    </row>
    <row r="316" ht="15.75" customHeight="1">
      <c r="A316" s="131"/>
      <c r="B316" s="131"/>
      <c r="C316" s="131"/>
      <c r="S316" s="39"/>
      <c r="T316" s="38"/>
      <c r="U316" s="39"/>
    </row>
    <row r="317" ht="15.75" customHeight="1">
      <c r="A317" s="131"/>
      <c r="B317" s="131"/>
      <c r="C317" s="131"/>
      <c r="S317" s="39"/>
      <c r="T317" s="38"/>
      <c r="U317" s="39"/>
    </row>
    <row r="318" ht="15.75" customHeight="1">
      <c r="A318" s="131"/>
      <c r="B318" s="131"/>
      <c r="C318" s="131"/>
      <c r="S318" s="39"/>
      <c r="T318" s="38"/>
      <c r="U318" s="39"/>
    </row>
    <row r="319" ht="15.75" customHeight="1">
      <c r="A319" s="131"/>
      <c r="B319" s="131"/>
      <c r="C319" s="131"/>
      <c r="S319" s="39"/>
      <c r="T319" s="38"/>
      <c r="U319" s="39"/>
    </row>
    <row r="320" ht="15.75" customHeight="1">
      <c r="A320" s="131"/>
      <c r="B320" s="131"/>
      <c r="C320" s="131"/>
      <c r="S320" s="39"/>
      <c r="T320" s="38"/>
      <c r="U320" s="39"/>
    </row>
    <row r="321" ht="15.75" customHeight="1">
      <c r="A321" s="131"/>
      <c r="B321" s="131"/>
      <c r="C321" s="131"/>
      <c r="S321" s="39"/>
      <c r="T321" s="38"/>
      <c r="U321" s="39"/>
    </row>
    <row r="322" ht="15.75" customHeight="1">
      <c r="A322" s="131"/>
      <c r="B322" s="131"/>
      <c r="C322" s="131"/>
      <c r="S322" s="39"/>
      <c r="T322" s="38"/>
      <c r="U322" s="39"/>
    </row>
    <row r="323" ht="15.75" customHeight="1">
      <c r="A323" s="131"/>
      <c r="B323" s="131"/>
      <c r="C323" s="131"/>
      <c r="S323" s="39"/>
      <c r="T323" s="38"/>
      <c r="U323" s="39"/>
    </row>
    <row r="324" ht="15.75" customHeight="1">
      <c r="A324" s="131"/>
      <c r="B324" s="131"/>
      <c r="C324" s="131"/>
      <c r="S324" s="39"/>
      <c r="T324" s="38"/>
      <c r="U324" s="39"/>
    </row>
    <row r="325" ht="15.75" customHeight="1">
      <c r="A325" s="131"/>
      <c r="B325" s="131"/>
      <c r="C325" s="131"/>
      <c r="S325" s="39"/>
      <c r="T325" s="38"/>
      <c r="U325" s="39"/>
    </row>
    <row r="326" ht="15.75" customHeight="1">
      <c r="A326" s="131"/>
      <c r="B326" s="131"/>
      <c r="C326" s="131"/>
      <c r="S326" s="39"/>
      <c r="T326" s="38"/>
      <c r="U326" s="39"/>
    </row>
    <row r="327" ht="15.75" customHeight="1">
      <c r="A327" s="131"/>
      <c r="B327" s="131"/>
      <c r="C327" s="131"/>
      <c r="S327" s="39"/>
      <c r="T327" s="38"/>
      <c r="U327" s="39"/>
    </row>
    <row r="328" ht="15.75" customHeight="1">
      <c r="A328" s="131"/>
      <c r="B328" s="131"/>
      <c r="C328" s="131"/>
      <c r="S328" s="39"/>
      <c r="T328" s="38"/>
      <c r="U328" s="39"/>
    </row>
    <row r="329" ht="15.75" customHeight="1">
      <c r="A329" s="131"/>
      <c r="B329" s="131"/>
      <c r="C329" s="131"/>
      <c r="S329" s="39"/>
      <c r="T329" s="38"/>
      <c r="U329" s="39"/>
    </row>
    <row r="330" ht="15.75" customHeight="1">
      <c r="A330" s="131"/>
      <c r="B330" s="131"/>
      <c r="C330" s="131"/>
      <c r="S330" s="39"/>
      <c r="T330" s="38"/>
      <c r="U330" s="39"/>
    </row>
    <row r="331" ht="15.75" customHeight="1">
      <c r="A331" s="131"/>
      <c r="B331" s="131"/>
      <c r="C331" s="131"/>
      <c r="S331" s="39"/>
      <c r="T331" s="38"/>
      <c r="U331" s="39"/>
    </row>
    <row r="332" ht="15.75" customHeight="1">
      <c r="A332" s="131"/>
      <c r="B332" s="131"/>
      <c r="C332" s="131"/>
      <c r="S332" s="39"/>
      <c r="T332" s="38"/>
      <c r="U332" s="39"/>
    </row>
    <row r="333" ht="15.75" customHeight="1">
      <c r="A333" s="131"/>
      <c r="B333" s="131"/>
      <c r="C333" s="131"/>
      <c r="S333" s="39"/>
      <c r="T333" s="38"/>
      <c r="U333" s="39"/>
    </row>
    <row r="334" ht="15.75" customHeight="1">
      <c r="A334" s="131"/>
      <c r="B334" s="131"/>
      <c r="C334" s="131"/>
      <c r="S334" s="39"/>
      <c r="T334" s="38"/>
      <c r="U334" s="39"/>
    </row>
    <row r="335" ht="15.75" customHeight="1">
      <c r="A335" s="131"/>
      <c r="B335" s="131"/>
      <c r="C335" s="131"/>
      <c r="S335" s="39"/>
      <c r="T335" s="38"/>
      <c r="U335" s="39"/>
    </row>
    <row r="336" ht="15.75" customHeight="1">
      <c r="A336" s="131"/>
      <c r="B336" s="131"/>
      <c r="C336" s="131"/>
      <c r="S336" s="39"/>
      <c r="T336" s="38"/>
      <c r="U336" s="39"/>
    </row>
    <row r="337" ht="15.75" customHeight="1">
      <c r="A337" s="131"/>
      <c r="B337" s="131"/>
      <c r="C337" s="131"/>
      <c r="S337" s="39"/>
      <c r="T337" s="38"/>
      <c r="U337" s="39"/>
    </row>
    <row r="338" ht="15.75" customHeight="1">
      <c r="A338" s="131"/>
      <c r="B338" s="131"/>
      <c r="C338" s="131"/>
      <c r="S338" s="39"/>
      <c r="T338" s="38"/>
      <c r="U338" s="39"/>
    </row>
    <row r="339" ht="15.75" customHeight="1">
      <c r="A339" s="131"/>
      <c r="B339" s="131"/>
      <c r="C339" s="131"/>
      <c r="S339" s="39"/>
      <c r="T339" s="38"/>
      <c r="U339" s="39"/>
    </row>
    <row r="340" ht="15.75" customHeight="1">
      <c r="A340" s="131"/>
      <c r="B340" s="131"/>
      <c r="C340" s="131"/>
      <c r="S340" s="39"/>
      <c r="T340" s="38"/>
      <c r="U340" s="39"/>
    </row>
    <row r="341" ht="15.75" customHeight="1">
      <c r="A341" s="131"/>
      <c r="B341" s="131"/>
      <c r="C341" s="131"/>
      <c r="S341" s="39"/>
      <c r="T341" s="38"/>
      <c r="U341" s="39"/>
    </row>
    <row r="342" ht="15.75" customHeight="1">
      <c r="A342" s="131"/>
      <c r="B342" s="131"/>
      <c r="C342" s="131"/>
      <c r="S342" s="39"/>
      <c r="T342" s="38"/>
      <c r="U342" s="39"/>
    </row>
    <row r="343" ht="15.75" customHeight="1">
      <c r="A343" s="131"/>
      <c r="B343" s="131"/>
      <c r="C343" s="131"/>
      <c r="S343" s="39"/>
      <c r="T343" s="38"/>
      <c r="U343" s="39"/>
    </row>
    <row r="344" ht="15.75" customHeight="1">
      <c r="A344" s="131"/>
      <c r="B344" s="131"/>
      <c r="C344" s="131"/>
      <c r="S344" s="39"/>
      <c r="T344" s="38"/>
      <c r="U344" s="39"/>
    </row>
    <row r="345" ht="15.75" customHeight="1">
      <c r="A345" s="131"/>
      <c r="B345" s="131"/>
      <c r="C345" s="131"/>
      <c r="S345" s="39"/>
      <c r="T345" s="38"/>
      <c r="U345" s="39"/>
    </row>
    <row r="346" ht="15.75" customHeight="1">
      <c r="A346" s="131"/>
      <c r="B346" s="131"/>
      <c r="C346" s="131"/>
      <c r="S346" s="39"/>
      <c r="T346" s="38"/>
      <c r="U346" s="39"/>
    </row>
    <row r="347" ht="15.75" customHeight="1">
      <c r="A347" s="131"/>
      <c r="B347" s="131"/>
      <c r="C347" s="131"/>
      <c r="S347" s="39"/>
      <c r="T347" s="38"/>
      <c r="U347" s="39"/>
    </row>
    <row r="348" ht="15.75" customHeight="1">
      <c r="A348" s="131"/>
      <c r="B348" s="131"/>
      <c r="C348" s="131"/>
      <c r="S348" s="39"/>
      <c r="T348" s="38"/>
      <c r="U348" s="39"/>
    </row>
    <row r="349" ht="15.75" customHeight="1">
      <c r="A349" s="131"/>
      <c r="B349" s="131"/>
      <c r="C349" s="131"/>
      <c r="S349" s="39"/>
      <c r="T349" s="38"/>
      <c r="U349" s="39"/>
    </row>
    <row r="350" ht="15.75" customHeight="1">
      <c r="A350" s="131"/>
      <c r="B350" s="131"/>
      <c r="C350" s="131"/>
      <c r="S350" s="39"/>
      <c r="T350" s="38"/>
      <c r="U350" s="39"/>
    </row>
    <row r="351" ht="15.75" customHeight="1">
      <c r="A351" s="131"/>
      <c r="B351" s="131"/>
      <c r="C351" s="131"/>
      <c r="S351" s="39"/>
      <c r="T351" s="38"/>
      <c r="U351" s="39"/>
    </row>
    <row r="352" ht="15.75" customHeight="1">
      <c r="A352" s="131"/>
      <c r="B352" s="131"/>
      <c r="C352" s="131"/>
      <c r="S352" s="39"/>
      <c r="T352" s="38"/>
      <c r="U352" s="39"/>
    </row>
    <row r="353" ht="15.75" customHeight="1">
      <c r="A353" s="131"/>
      <c r="B353" s="131"/>
      <c r="C353" s="131"/>
      <c r="S353" s="39"/>
      <c r="T353" s="38"/>
      <c r="U353" s="39"/>
    </row>
    <row r="354" ht="15.75" customHeight="1">
      <c r="A354" s="131"/>
      <c r="B354" s="131"/>
      <c r="C354" s="131"/>
      <c r="S354" s="39"/>
      <c r="T354" s="38"/>
      <c r="U354" s="39"/>
    </row>
    <row r="355" ht="15.75" customHeight="1">
      <c r="A355" s="131"/>
      <c r="B355" s="131"/>
      <c r="C355" s="131"/>
      <c r="S355" s="39"/>
      <c r="T355" s="38"/>
      <c r="U355" s="39"/>
    </row>
    <row r="356" ht="15.75" customHeight="1">
      <c r="A356" s="131"/>
      <c r="B356" s="131"/>
      <c r="C356" s="131"/>
      <c r="S356" s="39"/>
      <c r="T356" s="38"/>
      <c r="U356" s="39"/>
    </row>
    <row r="357" ht="15.75" customHeight="1">
      <c r="A357" s="131"/>
      <c r="B357" s="131"/>
      <c r="C357" s="131"/>
      <c r="S357" s="39"/>
      <c r="T357" s="38"/>
      <c r="U357" s="39"/>
    </row>
    <row r="358" ht="15.75" customHeight="1">
      <c r="A358" s="131"/>
      <c r="B358" s="131"/>
      <c r="C358" s="131"/>
      <c r="S358" s="39"/>
      <c r="T358" s="38"/>
      <c r="U358" s="39"/>
    </row>
    <row r="359" ht="15.75" customHeight="1">
      <c r="A359" s="131"/>
      <c r="B359" s="131"/>
      <c r="C359" s="131"/>
      <c r="S359" s="39"/>
      <c r="T359" s="38"/>
      <c r="U359" s="39"/>
    </row>
    <row r="360" ht="15.75" customHeight="1">
      <c r="A360" s="131"/>
      <c r="B360" s="131"/>
      <c r="C360" s="131"/>
      <c r="S360" s="39"/>
      <c r="T360" s="38"/>
      <c r="U360" s="39"/>
    </row>
    <row r="361" ht="15.75" customHeight="1">
      <c r="A361" s="131"/>
      <c r="B361" s="131"/>
      <c r="C361" s="131"/>
      <c r="S361" s="39"/>
      <c r="T361" s="38"/>
      <c r="U361" s="39"/>
    </row>
    <row r="362" ht="15.75" customHeight="1">
      <c r="A362" s="131"/>
      <c r="B362" s="131"/>
      <c r="C362" s="131"/>
      <c r="S362" s="39"/>
      <c r="T362" s="38"/>
      <c r="U362" s="39"/>
    </row>
    <row r="363" ht="15.75" customHeight="1">
      <c r="A363" s="131"/>
      <c r="B363" s="131"/>
      <c r="C363" s="131"/>
      <c r="S363" s="39"/>
      <c r="T363" s="38"/>
      <c r="U363" s="39"/>
    </row>
    <row r="364" ht="15.75" customHeight="1">
      <c r="A364" s="131"/>
      <c r="B364" s="131"/>
      <c r="C364" s="131"/>
      <c r="S364" s="39"/>
      <c r="T364" s="38"/>
      <c r="U364" s="39"/>
    </row>
    <row r="365" ht="15.75" customHeight="1">
      <c r="A365" s="131"/>
      <c r="B365" s="131"/>
      <c r="C365" s="131"/>
      <c r="S365" s="39"/>
      <c r="T365" s="38"/>
      <c r="U365" s="39"/>
    </row>
    <row r="366" ht="15.75" customHeight="1">
      <c r="A366" s="131"/>
      <c r="B366" s="131"/>
      <c r="C366" s="131"/>
      <c r="S366" s="39"/>
      <c r="T366" s="38"/>
      <c r="U366" s="39"/>
    </row>
    <row r="367" ht="15.75" customHeight="1">
      <c r="A367" s="131"/>
      <c r="B367" s="131"/>
      <c r="C367" s="131"/>
      <c r="S367" s="39"/>
      <c r="T367" s="38"/>
      <c r="U367" s="39"/>
    </row>
    <row r="368" ht="15.75" customHeight="1">
      <c r="A368" s="131"/>
      <c r="B368" s="131"/>
      <c r="C368" s="131"/>
      <c r="S368" s="39"/>
      <c r="T368" s="38"/>
      <c r="U368" s="39"/>
    </row>
    <row r="369" ht="15.75" customHeight="1">
      <c r="A369" s="131"/>
      <c r="B369" s="131"/>
      <c r="C369" s="131"/>
      <c r="S369" s="39"/>
      <c r="T369" s="38"/>
      <c r="U369" s="39"/>
    </row>
    <row r="370" ht="15.75" customHeight="1">
      <c r="A370" s="131"/>
      <c r="B370" s="131"/>
      <c r="C370" s="131"/>
      <c r="S370" s="39"/>
      <c r="T370" s="38"/>
      <c r="U370" s="39"/>
    </row>
    <row r="371" ht="15.75" customHeight="1">
      <c r="A371" s="131"/>
      <c r="B371" s="131"/>
      <c r="C371" s="131"/>
      <c r="S371" s="39"/>
      <c r="T371" s="38"/>
      <c r="U371" s="39"/>
    </row>
    <row r="372" ht="15.75" customHeight="1">
      <c r="A372" s="131"/>
      <c r="B372" s="131"/>
      <c r="C372" s="131"/>
      <c r="S372" s="39"/>
      <c r="T372" s="38"/>
      <c r="U372" s="39"/>
    </row>
    <row r="373" ht="15.75" customHeight="1">
      <c r="A373" s="131"/>
      <c r="B373" s="131"/>
      <c r="C373" s="131"/>
      <c r="S373" s="39"/>
      <c r="T373" s="38"/>
      <c r="U373" s="39"/>
    </row>
    <row r="374" ht="15.75" customHeight="1">
      <c r="A374" s="131"/>
      <c r="B374" s="131"/>
      <c r="C374" s="131"/>
      <c r="S374" s="39"/>
      <c r="T374" s="38"/>
      <c r="U374" s="39"/>
    </row>
    <row r="375" ht="15.75" customHeight="1">
      <c r="A375" s="131"/>
      <c r="B375" s="131"/>
      <c r="C375" s="131"/>
      <c r="S375" s="39"/>
      <c r="T375" s="38"/>
      <c r="U375" s="39"/>
    </row>
    <row r="376" ht="15.75" customHeight="1">
      <c r="A376" s="131"/>
      <c r="B376" s="131"/>
      <c r="C376" s="131"/>
      <c r="S376" s="39"/>
      <c r="T376" s="38"/>
      <c r="U376" s="39"/>
    </row>
    <row r="377" ht="15.75" customHeight="1">
      <c r="A377" s="131"/>
      <c r="B377" s="131"/>
      <c r="C377" s="131"/>
      <c r="S377" s="39"/>
      <c r="T377" s="38"/>
      <c r="U377" s="39"/>
    </row>
    <row r="378" ht="15.75" customHeight="1">
      <c r="A378" s="131"/>
      <c r="B378" s="131"/>
      <c r="C378" s="131"/>
      <c r="S378" s="39"/>
      <c r="T378" s="38"/>
      <c r="U378" s="39"/>
    </row>
    <row r="379" ht="15.75" customHeight="1">
      <c r="A379" s="131"/>
      <c r="B379" s="131"/>
      <c r="C379" s="131"/>
      <c r="S379" s="39"/>
      <c r="T379" s="38"/>
      <c r="U379" s="39"/>
    </row>
    <row r="380" ht="15.75" customHeight="1">
      <c r="A380" s="131"/>
      <c r="B380" s="131"/>
      <c r="C380" s="131"/>
      <c r="S380" s="39"/>
      <c r="T380" s="38"/>
      <c r="U380" s="39"/>
    </row>
    <row r="381" ht="15.75" customHeight="1">
      <c r="A381" s="131"/>
      <c r="B381" s="131"/>
      <c r="C381" s="131"/>
      <c r="S381" s="39"/>
      <c r="T381" s="38"/>
      <c r="U381" s="39"/>
    </row>
    <row r="382" ht="15.75" customHeight="1">
      <c r="A382" s="131"/>
      <c r="B382" s="131"/>
      <c r="C382" s="131"/>
      <c r="S382" s="39"/>
      <c r="T382" s="38"/>
      <c r="U382" s="39"/>
    </row>
    <row r="383" ht="15.75" customHeight="1">
      <c r="A383" s="131"/>
      <c r="B383" s="131"/>
      <c r="C383" s="131"/>
      <c r="S383" s="39"/>
      <c r="T383" s="38"/>
      <c r="U383" s="39"/>
    </row>
    <row r="384" ht="15.75" customHeight="1">
      <c r="A384" s="131"/>
      <c r="B384" s="131"/>
      <c r="C384" s="131"/>
      <c r="S384" s="39"/>
      <c r="T384" s="38"/>
      <c r="U384" s="39"/>
    </row>
    <row r="385" ht="15.75" customHeight="1">
      <c r="A385" s="131"/>
      <c r="B385" s="131"/>
      <c r="C385" s="131"/>
      <c r="S385" s="39"/>
      <c r="T385" s="38"/>
      <c r="U385" s="39"/>
    </row>
    <row r="386" ht="15.75" customHeight="1">
      <c r="A386" s="131"/>
      <c r="B386" s="131"/>
      <c r="C386" s="131"/>
      <c r="S386" s="39"/>
      <c r="T386" s="38"/>
      <c r="U386" s="39"/>
    </row>
    <row r="387" ht="15.75" customHeight="1">
      <c r="A387" s="131"/>
      <c r="B387" s="131"/>
      <c r="C387" s="131"/>
      <c r="S387" s="39"/>
      <c r="T387" s="38"/>
      <c r="U387" s="39"/>
    </row>
    <row r="388" ht="15.75" customHeight="1">
      <c r="A388" s="131"/>
      <c r="B388" s="131"/>
      <c r="C388" s="131"/>
      <c r="S388" s="39"/>
      <c r="T388" s="38"/>
      <c r="U388" s="39"/>
    </row>
    <row r="389" ht="15.75" customHeight="1">
      <c r="A389" s="131"/>
      <c r="B389" s="131"/>
      <c r="C389" s="131"/>
      <c r="S389" s="39"/>
      <c r="T389" s="38"/>
      <c r="U389" s="39"/>
    </row>
    <row r="390" ht="15.75" customHeight="1">
      <c r="A390" s="131"/>
      <c r="B390" s="131"/>
      <c r="C390" s="131"/>
      <c r="S390" s="39"/>
      <c r="T390" s="38"/>
      <c r="U390" s="39"/>
    </row>
    <row r="391" ht="15.75" customHeight="1">
      <c r="A391" s="131"/>
      <c r="B391" s="131"/>
      <c r="C391" s="131"/>
      <c r="S391" s="39"/>
      <c r="T391" s="38"/>
      <c r="U391" s="39"/>
    </row>
    <row r="392" ht="15.75" customHeight="1">
      <c r="A392" s="131"/>
      <c r="B392" s="131"/>
      <c r="C392" s="131"/>
      <c r="S392" s="39"/>
      <c r="T392" s="38"/>
      <c r="U392" s="39"/>
    </row>
    <row r="393" ht="15.75" customHeight="1">
      <c r="A393" s="131"/>
      <c r="B393" s="131"/>
      <c r="C393" s="131"/>
      <c r="S393" s="39"/>
      <c r="T393" s="38"/>
      <c r="U393" s="39"/>
    </row>
    <row r="394" ht="15.75" customHeight="1">
      <c r="A394" s="131"/>
      <c r="B394" s="131"/>
      <c r="C394" s="131"/>
      <c r="S394" s="39"/>
      <c r="T394" s="38"/>
      <c r="U394" s="39"/>
    </row>
    <row r="395" ht="15.75" customHeight="1">
      <c r="A395" s="131"/>
      <c r="B395" s="131"/>
      <c r="C395" s="131"/>
      <c r="S395" s="39"/>
      <c r="T395" s="38"/>
      <c r="U395" s="39"/>
    </row>
    <row r="396" ht="15.75" customHeight="1">
      <c r="A396" s="131"/>
      <c r="B396" s="131"/>
      <c r="C396" s="131"/>
      <c r="S396" s="39"/>
      <c r="T396" s="38"/>
      <c r="U396" s="39"/>
    </row>
    <row r="397" ht="15.75" customHeight="1">
      <c r="A397" s="131"/>
      <c r="B397" s="131"/>
      <c r="C397" s="131"/>
      <c r="S397" s="39"/>
      <c r="T397" s="38"/>
      <c r="U397" s="39"/>
    </row>
    <row r="398" ht="15.75" customHeight="1">
      <c r="A398" s="131"/>
      <c r="B398" s="131"/>
      <c r="C398" s="131"/>
      <c r="S398" s="39"/>
      <c r="T398" s="38"/>
      <c r="U398" s="39"/>
    </row>
    <row r="399" ht="15.75" customHeight="1">
      <c r="A399" s="131"/>
      <c r="B399" s="131"/>
      <c r="C399" s="131"/>
      <c r="S399" s="39"/>
      <c r="T399" s="38"/>
      <c r="U399" s="39"/>
    </row>
    <row r="400" ht="15.75" customHeight="1">
      <c r="A400" s="131"/>
      <c r="B400" s="131"/>
      <c r="C400" s="131"/>
      <c r="S400" s="39"/>
      <c r="T400" s="38"/>
      <c r="U400" s="39"/>
    </row>
    <row r="401" ht="15.75" customHeight="1">
      <c r="A401" s="131"/>
      <c r="B401" s="131"/>
      <c r="C401" s="131"/>
      <c r="S401" s="39"/>
      <c r="T401" s="38"/>
      <c r="U401" s="39"/>
    </row>
    <row r="402" ht="15.75" customHeight="1">
      <c r="A402" s="131"/>
      <c r="B402" s="131"/>
      <c r="C402" s="131"/>
      <c r="S402" s="39"/>
      <c r="T402" s="38"/>
      <c r="U402" s="39"/>
    </row>
    <row r="403" ht="15.75" customHeight="1">
      <c r="A403" s="131"/>
      <c r="B403" s="131"/>
      <c r="C403" s="131"/>
      <c r="S403" s="39"/>
      <c r="T403" s="38"/>
      <c r="U403" s="39"/>
    </row>
    <row r="404" ht="15.75" customHeight="1">
      <c r="A404" s="131"/>
      <c r="B404" s="131"/>
      <c r="C404" s="131"/>
      <c r="S404" s="39"/>
      <c r="T404" s="38"/>
      <c r="U404" s="39"/>
    </row>
    <row r="405" ht="15.75" customHeight="1">
      <c r="A405" s="131"/>
      <c r="B405" s="131"/>
      <c r="C405" s="131"/>
      <c r="S405" s="39"/>
      <c r="T405" s="38"/>
      <c r="U405" s="39"/>
    </row>
    <row r="406" ht="15.75" customHeight="1">
      <c r="A406" s="131"/>
      <c r="B406" s="131"/>
      <c r="C406" s="131"/>
      <c r="S406" s="39"/>
      <c r="T406" s="38"/>
      <c r="U406" s="39"/>
    </row>
    <row r="407" ht="15.75" customHeight="1">
      <c r="A407" s="131"/>
      <c r="B407" s="131"/>
      <c r="C407" s="131"/>
      <c r="S407" s="39"/>
      <c r="T407" s="38"/>
      <c r="U407" s="39"/>
    </row>
    <row r="408" ht="15.75" customHeight="1">
      <c r="A408" s="131"/>
      <c r="B408" s="131"/>
      <c r="C408" s="131"/>
      <c r="S408" s="39"/>
      <c r="T408" s="38"/>
      <c r="U408" s="39"/>
    </row>
    <row r="409" ht="15.75" customHeight="1">
      <c r="A409" s="131"/>
      <c r="B409" s="131"/>
      <c r="C409" s="131"/>
      <c r="S409" s="39"/>
      <c r="T409" s="38"/>
      <c r="U409" s="39"/>
    </row>
    <row r="410" ht="15.75" customHeight="1">
      <c r="A410" s="131"/>
      <c r="B410" s="131"/>
      <c r="C410" s="131"/>
      <c r="S410" s="39"/>
      <c r="T410" s="38"/>
      <c r="U410" s="39"/>
    </row>
    <row r="411" ht="15.75" customHeight="1">
      <c r="A411" s="131"/>
      <c r="B411" s="131"/>
      <c r="C411" s="131"/>
      <c r="S411" s="39"/>
      <c r="T411" s="38"/>
      <c r="U411" s="39"/>
    </row>
    <row r="412" ht="15.75" customHeight="1">
      <c r="A412" s="131"/>
      <c r="B412" s="131"/>
      <c r="C412" s="131"/>
      <c r="S412" s="39"/>
      <c r="T412" s="38"/>
      <c r="U412" s="39"/>
    </row>
    <row r="413" ht="15.75" customHeight="1">
      <c r="A413" s="131"/>
      <c r="B413" s="131"/>
      <c r="C413" s="131"/>
      <c r="S413" s="39"/>
      <c r="T413" s="38"/>
      <c r="U413" s="39"/>
    </row>
    <row r="414" ht="15.75" customHeight="1">
      <c r="A414" s="131"/>
      <c r="B414" s="131"/>
      <c r="C414" s="131"/>
      <c r="S414" s="39"/>
      <c r="T414" s="38"/>
      <c r="U414" s="39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5:$U$214">
    <sortState ref="A5:U214">
      <sortCondition descending="1" ref="M5:M214"/>
      <sortCondition ref="A5:A214"/>
      <sortCondition ref="B5:B214"/>
      <sortCondition ref="C5:C214"/>
      <sortCondition descending="1" ref="K5:K214"/>
    </sortState>
  </autoFilter>
  <mergeCells count="12">
    <mergeCell ref="N3:O3"/>
    <mergeCell ref="P3:Q3"/>
    <mergeCell ref="N4:O4"/>
    <mergeCell ref="P4:Q4"/>
    <mergeCell ref="A1:L2"/>
    <mergeCell ref="M1:M4"/>
    <mergeCell ref="N1:Q1"/>
    <mergeCell ref="N2:P2"/>
    <mergeCell ref="S2:S4"/>
    <mergeCell ref="B3:B4"/>
    <mergeCell ref="C3:D4"/>
    <mergeCell ref="E5:K5"/>
  </mergeCells>
  <dataValidations>
    <dataValidation type="list" allowBlank="1" showErrorMessage="1" sqref="E3 G3 I3 K3">
      <formula1>'Созвездия'!$A$2:$A$13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38"/>
  </cols>
  <sheetData>
    <row r="1" ht="37.5" customHeight="1">
      <c r="A1" s="1" t="s">
        <v>0</v>
      </c>
      <c r="B1" s="1" t="s">
        <v>1</v>
      </c>
    </row>
    <row r="2" ht="37.5" customHeight="1">
      <c r="A2" s="1" t="s">
        <v>2</v>
      </c>
      <c r="B2" s="2" t="str">
        <f>IMAGE("https://raw.githubusercontent.com/RedCat161/AoM/main/Runes/Rune4_200.jpg")</f>
        <v/>
      </c>
      <c r="C2" s="3"/>
      <c r="D2" s="3"/>
    </row>
    <row r="3" ht="37.5" customHeight="1">
      <c r="A3" s="1" t="s">
        <v>3</v>
      </c>
      <c r="B3" s="2" t="str">
        <f>IMAGE("https://raw.githubusercontent.com/RedCat161/AoM/main/Runes/Rune1_200.jpg")</f>
        <v/>
      </c>
      <c r="C3" s="3"/>
      <c r="D3" s="3"/>
      <c r="F3" s="5" t="s">
        <v>4</v>
      </c>
      <c r="H3" s="8" t="str">
        <f>'Созвездия'!B2</f>
        <v/>
      </c>
      <c r="I3" s="9" t="str">
        <f>'Созвездия'!B3</f>
        <v/>
      </c>
      <c r="J3" s="9" t="str">
        <f>'Созвездия'!B4</f>
        <v/>
      </c>
      <c r="K3" s="9" t="str">
        <f>'Созвездия'!B5</f>
        <v/>
      </c>
      <c r="L3" s="9" t="str">
        <f>'Созвездия'!B6</f>
        <v/>
      </c>
      <c r="M3" s="9" t="str">
        <f>'Созвездия'!B7</f>
        <v/>
      </c>
      <c r="N3" s="9" t="str">
        <f>'Созвездия'!B8</f>
        <v/>
      </c>
      <c r="O3" s="9" t="str">
        <f>'Созвездия'!B9</f>
        <v/>
      </c>
      <c r="P3" s="9" t="str">
        <f>'Созвездия'!B10</f>
        <v/>
      </c>
      <c r="Q3" s="9" t="str">
        <f>'Созвездия'!B11</f>
        <v/>
      </c>
      <c r="R3" s="9" t="str">
        <f>'Созвездия'!B12</f>
        <v/>
      </c>
      <c r="S3" s="19" t="str">
        <f>'Созвездия'!B13</f>
        <v/>
      </c>
    </row>
    <row r="4" ht="37.5" customHeight="1">
      <c r="A4" s="1" t="s">
        <v>8</v>
      </c>
      <c r="B4" s="2" t="str">
        <f>IMAGE("https://raw.githubusercontent.com/RedCat161/AoM/main/Runes/Rune9_200.jpg")</f>
        <v/>
      </c>
      <c r="C4" s="3"/>
      <c r="D4" s="3"/>
      <c r="H4" s="21" t="s">
        <v>2</v>
      </c>
      <c r="I4" s="22" t="s">
        <v>3</v>
      </c>
      <c r="J4" s="22" t="s">
        <v>8</v>
      </c>
      <c r="K4" s="22" t="s">
        <v>10</v>
      </c>
      <c r="L4" s="22" t="s">
        <v>11</v>
      </c>
      <c r="M4" s="22" t="s">
        <v>12</v>
      </c>
      <c r="N4" s="22" t="s">
        <v>13</v>
      </c>
      <c r="O4" s="22" t="s">
        <v>14</v>
      </c>
      <c r="P4" s="22" t="s">
        <v>15</v>
      </c>
      <c r="Q4" s="22" t="s">
        <v>16</v>
      </c>
      <c r="R4" s="22" t="s">
        <v>17</v>
      </c>
      <c r="S4" s="24" t="s">
        <v>18</v>
      </c>
    </row>
    <row r="5" ht="37.5" customHeight="1">
      <c r="A5" s="1" t="s">
        <v>10</v>
      </c>
      <c r="B5" s="2" t="str">
        <f>IMAGE("https://raw.githubusercontent.com/RedCat161/AoM/main/Runes/Rune5_200.jpg")</f>
        <v/>
      </c>
      <c r="C5" s="3"/>
      <c r="D5" s="3"/>
    </row>
    <row r="6" ht="37.5" customHeight="1">
      <c r="A6" s="1" t="s">
        <v>11</v>
      </c>
      <c r="B6" s="2" t="str">
        <f>IMAGE("https://raw.githubusercontent.com/RedCat161/AoM/main/Runes/Rune3_200.jpg")</f>
        <v/>
      </c>
      <c r="C6" s="3"/>
      <c r="D6" s="3"/>
    </row>
    <row r="7" ht="37.5" customHeight="1">
      <c r="A7" s="1" t="s">
        <v>12</v>
      </c>
      <c r="B7" s="2" t="str">
        <f>IMAGE("https://raw.githubusercontent.com/RedCat161/AoM/main/Runes/Rune2_200.jpg")</f>
        <v/>
      </c>
      <c r="C7" s="3"/>
      <c r="D7" s="3"/>
    </row>
    <row r="8" ht="37.5" customHeight="1">
      <c r="A8" s="1" t="s">
        <v>13</v>
      </c>
      <c r="B8" s="2" t="str">
        <f>IMAGE("https://raw.githubusercontent.com/RedCat161/AoM/main/Runes/Rune10_200.jpg")</f>
        <v/>
      </c>
      <c r="C8" s="3"/>
      <c r="D8" s="3"/>
    </row>
    <row r="9" ht="37.5" customHeight="1">
      <c r="A9" s="1" t="s">
        <v>14</v>
      </c>
      <c r="B9" s="2" t="str">
        <f>IMAGE("https://raw.githubusercontent.com/RedCat161/AoM/main/Runes/Rune11_200.jpg")</f>
        <v/>
      </c>
      <c r="C9" s="3"/>
      <c r="D9" s="3"/>
    </row>
    <row r="10" ht="37.5" customHeight="1">
      <c r="A10" s="1" t="s">
        <v>15</v>
      </c>
      <c r="B10" s="2" t="str">
        <f>IMAGE("https://raw.githubusercontent.com/RedCat161/AoM/main/Runes/Rune6_200.jpg")</f>
        <v/>
      </c>
      <c r="C10" s="3"/>
      <c r="D10" s="3"/>
    </row>
    <row r="11" ht="37.5" customHeight="1">
      <c r="A11" s="1" t="s">
        <v>16</v>
      </c>
      <c r="B11" s="2" t="str">
        <f>IMAGE("https://raw.githubusercontent.com/RedCat161/AoM/main/Runes/Rune7_200.jpg")</f>
        <v/>
      </c>
      <c r="C11" s="3"/>
      <c r="D11" s="3"/>
    </row>
    <row r="12" ht="37.5" customHeight="1">
      <c r="A12" s="1" t="s">
        <v>17</v>
      </c>
      <c r="B12" s="2" t="str">
        <f>IMAGE("https://raw.githubusercontent.com/RedCat161/AoM/main/Runes/Rune12_200.jpg")</f>
        <v/>
      </c>
      <c r="C12" s="3"/>
      <c r="D12" s="3"/>
    </row>
    <row r="13" ht="37.5" customHeight="1">
      <c r="A13" s="1" t="s">
        <v>18</v>
      </c>
      <c r="B13" s="2" t="str">
        <f>IMAGE("https://raw.githubusercontent.com/RedCat161/AoM/main/Runes/Rune8_200.jpg")</f>
        <v/>
      </c>
      <c r="C13" s="3"/>
      <c r="D13" s="3"/>
    </row>
    <row r="14" ht="37.5" customHeight="1">
      <c r="B14" s="3"/>
      <c r="C14" s="3"/>
      <c r="D14" s="3"/>
    </row>
    <row r="15" ht="37.5" customHeight="1">
      <c r="B15" s="3"/>
      <c r="C15" s="3"/>
      <c r="D15" s="3"/>
    </row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  <row r="25" ht="37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